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總覽" sheetId="1" state="visible" r:id="rId1"/>
    <sheet xmlns:r="http://schemas.openxmlformats.org/officeDocument/2006/relationships" name="前端待修收斂表" sheetId="2" state="visible" r:id="rId2"/>
    <sheet xmlns:r="http://schemas.openxmlformats.org/officeDocument/2006/relationships" name="後端待修收斂表" sheetId="3" state="visible" r:id="rId3"/>
    <sheet xmlns:r="http://schemas.openxmlformats.org/officeDocument/2006/relationships" name="系統基礎模組收斂表" sheetId="4" state="visible" r:id="rId4"/>
    <sheet xmlns:r="http://schemas.openxmlformats.org/officeDocument/2006/relationships" name="白帽檢測結果" sheetId="5" state="visible" r:id="rId5"/>
    <sheet xmlns:r="http://schemas.openxmlformats.org/officeDocument/2006/relationships" name="檢測範圍對照" sheetId="6" state="visible" r:id="rId6"/>
    <sheet xmlns:r="http://schemas.openxmlformats.org/officeDocument/2006/relationships" name="修正驗收紀錄" sheetId="7" state="visible" r:id="rId7"/>
    <sheet xmlns:r="http://schemas.openxmlformats.org/officeDocument/2006/relationships" name="來源說明" sheetId="8" state="visible" r:id="rId8"/>
    <sheet xmlns:r="http://schemas.openxmlformats.org/officeDocument/2006/relationships" name="選單值" sheetId="9" state="visible" r:id="rId9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color rgb="00000000"/>
      <sz val="11"/>
    </font>
    <font>
      <name val="Carlito"/>
      <b val="1"/>
      <color rgb="00FFFFFF"/>
      <sz val="16"/>
    </font>
    <font>
      <name val="Carlito"/>
      <color rgb="00000000"/>
      <sz val="11"/>
    </font>
    <font>
      <name val="Carlito"/>
      <color rgb="00666666"/>
      <sz val="11"/>
    </font>
    <font>
      <name val="Carlito"/>
      <b val="1"/>
      <color rgb="00FFFFFF"/>
      <sz val="11"/>
    </font>
    <font>
      <name val="Carlito"/>
      <color theme="1"/>
      <sz val="11"/>
    </font>
    <font>
      <name val="Carlito"/>
      <b val="1"/>
      <color theme="1"/>
      <sz val="11"/>
    </font>
    <font>
      <name val="Carlito"/>
      <color theme="1"/>
    </font>
  </fonts>
  <fills count="9">
    <fill>
      <patternFill/>
    </fill>
    <fill>
      <patternFill patternType="lightGray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theme="4"/>
      </patternFill>
    </fill>
    <fill>
      <patternFill patternType="solid">
        <fgColor rgb="00C1E4F5"/>
      </patternFill>
    </fill>
    <fill>
      <patternFill patternType="solid">
        <fgColor theme="0"/>
      </patternFill>
    </fill>
  </fills>
  <borders count="2">
    <border/>
    <border/>
  </borders>
  <cellStyleXfs count="1">
    <xf numFmtId="0" fontId="2" fillId="0" borderId="1"/>
  </cellStyleXfs>
  <cellXfs count="2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wrapText="1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pivotButton="0" quotePrefix="0" xfId="0"/>
    <xf numFmtId="0" fontId="5" fillId="7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wrapText="1"/>
    </xf>
    <xf numFmtId="0" fontId="6" fillId="5" borderId="1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/>
  </cellStyles>
  <dxfs count="10">
    <dxf>
      <fill>
        <patternFill/>
      </fill>
      <border/>
    </dxf>
    <dxf>
      <fill>
        <patternFill>
          <bgColor theme="4"/>
        </patternFill>
      </fill>
      <border/>
    </dxf>
    <dxf>
      <fill>
        <patternFill>
          <bgColor rgb="FFC1E4F5"/>
        </patternFill>
      </fill>
      <border/>
    </dxf>
    <dxf>
      <fill>
        <patternFill>
          <bgColor theme="0"/>
        </patternFill>
      </fill>
      <border/>
    </dxf>
    <dxf>
      <fill>
        <patternFill>
          <bgColor rgb="FFF4CCCC"/>
        </patternFill>
      </fill>
      <border/>
    </dxf>
    <dxf>
      <fill>
        <patternFill>
          <bgColor rgb="FFFCE5CD"/>
        </patternFill>
      </fill>
      <border/>
    </dxf>
    <dxf>
      <fill>
        <patternFill>
          <bgColor rgb="FFFFF2CC"/>
        </patternFill>
      </fill>
      <border/>
    </dxf>
    <dxf>
      <fill>
        <patternFill>
          <bgColor rgb="FFD9EAD3"/>
        </patternFill>
      </fill>
      <border/>
    </dxf>
    <dxf>
      <fill>
        <patternFill>
          <bgColor rgb="FFD9E2F3"/>
        </patternFill>
      </fill>
      <border/>
    </dxf>
    <dxf>
      <fill>
        <patternFill>
          <bgColor rgb="FFEA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_1" displayName="Table_1" ref="A4:L12" headerRowCount="1">
  <tableColumns count="12">
    <tableColumn id="1" name="Sheet"/>
    <tableColumn id="2" name="用途"/>
    <tableColumn id="3" name="筆數"/>
    <tableColumn id="4" name="緊急/Critical"/>
    <tableColumn id="5" name="高"/>
    <tableColumn id="6" name="中"/>
    <tableColumn id="7" name="低"/>
    <tableColumn id="8" name="待修"/>
    <tableColumn id="9" name="處理中"/>
    <tableColumn id="10" name="待規劃/待確認"/>
    <tableColumn id="11" name="退回"/>
    <tableColumn id="12" name="未驗收/待驗收"/>
  </tableColumns>
  <tableStyleInfo name="總覽-style" showFirstColumn="1" showLastColumn="1" showRowStripes="1"/>
</table>
</file>

<file path=xl/tables/table2.xml><?xml version="1.0" encoding="utf-8"?>
<table xmlns="http://schemas.openxmlformats.org/spreadsheetml/2006/main" id="2" name="Table_2" displayName="Table_2" ref="A1:M53" headerRowCount="1">
  <tableColumns count="13">
    <tableColumn id="1" name="序號"/>
    <tableColumn id="2" name="模組類別"/>
    <tableColumn id="3" name="項目"/>
    <tableColumn id="4" name="重要性"/>
    <tableColumn id="5" name="規模"/>
    <tableColumn id="6" name="預計花費時間(hr)"/>
    <tableColumn id="7" name="狀態"/>
    <tableColumn id="8" name="收斂目標"/>
    <tableColumn id="9" name="目前原始碼依據"/>
    <tableColumn id="10" name="白帽檢測重點"/>
    <tableColumn id="11" name="結果"/>
    <tableColumn id="12" name="完成日期"/>
    <tableColumn id="13" name="備註"/>
  </tableColumns>
  <tableStyleInfo name="系統基礎模組收斂表-style" showFirstColumn="1" showLastColumn="1" showRowStripes="1"/>
</table>
</file>

<file path=xl/tables/table3.xml><?xml version="1.0" encoding="utf-8"?>
<table xmlns="http://schemas.openxmlformats.org/spreadsheetml/2006/main" id="3" name="Table_3" displayName="Table_3" ref="A1:O121" headerRowCount="1">
  <tableColumns count="15">
    <tableColumn id="1" name="序號"/>
    <tableColumn id="2" name="區域"/>
    <tableColumn id="3" name="檢測類型"/>
    <tableColumn id="4" name="風險等級"/>
    <tableColumn id="5" name="項目/弱點名稱"/>
    <tableColumn id="6" name="檔案/路徑"/>
    <tableColumn id="7" name="觸發條件/檢測方式"/>
    <tableColumn id="8" name="證據摘要"/>
    <tableColumn id="9" name="建議修正"/>
    <tableColumn id="10" name="狀態"/>
    <tableColumn id="11" name="預計花費時間(hr)"/>
    <tableColumn id="12" name="完成日期"/>
    <tableColumn id="13" name="驗收結果"/>
    <tableColumn id="14" name="複測日期"/>
    <tableColumn id="15" name="備註"/>
  </tableColumns>
  <tableStyleInfo name="白帽檢測結果-style" showFirstColumn="1" showLastColumn="1" showRowStripes="1"/>
</table>
</file>

<file path=xl/tables/table4.xml><?xml version="1.0" encoding="utf-8"?>
<table xmlns="http://schemas.openxmlformats.org/spreadsheetml/2006/main" id="4" name="Table_4" displayName="Table_4" ref="A1:F11" headerRowCount="1">
  <tableColumns count="6">
    <tableColumn id="1" name="序號"/>
    <tableColumn id="2" name="區域"/>
    <tableColumn id="3" name="檢測範圍"/>
    <tableColumn id="4" name="代表檔案/位置"/>
    <tableColumn id="5" name="檢測重點"/>
    <tableColumn id="6" name="目前判斷"/>
  </tableColumns>
  <tableStyleInfo name="檢測範圍對照-style" showFirstColumn="1" showLastColumn="1" showRowStripes="1"/>
</table>
</file>

<file path=xl/tables/table5.xml><?xml version="1.0" encoding="utf-8"?>
<table xmlns="http://schemas.openxmlformats.org/spreadsheetml/2006/main" id="5" name="Table_5" displayName="Table_5" ref="A1:J41" headerRowCount="1">
  <tableColumns count="10">
    <tableColumn id="1" name="序號"/>
    <tableColumn id="2" name="關聯序號"/>
    <tableColumn id="3" name="來源Sheet"/>
    <tableColumn id="4" name="修正摘要"/>
    <tableColumn id="5" name="修改檔案"/>
    <tableColumn id="6" name="自測結果"/>
    <tableColumn id="7" name="白帽複測結果"/>
    <tableColumn id="8" name="AA/弱掃回歸"/>
    <tableColumn id="9" name="完成日期"/>
    <tableColumn id="10" name="備註"/>
  </tableColumns>
  <tableStyleInfo name="修正驗收紀錄-style" showFirstColumn="1" showLastColumn="1" showRowStripes="1"/>
</table>
</file>

<file path=xl/tables/table6.xml><?xml version="1.0" encoding="utf-8"?>
<table xmlns="http://schemas.openxmlformats.org/spreadsheetml/2006/main" id="6" name="Table_6" displayName="Table_6" ref="A1:C6" headerRowCount="1">
  <tableColumns count="3">
    <tableColumn id="1" name="來源"/>
    <tableColumn id="2" name="處理方式"/>
    <tableColumn id="3" name="備註"/>
  </tableColumns>
  <tableStyleInfo name="來源說明-style" showFirstColumn="1" showLastColumn="1" showRowStripes="1"/>
</table>
</file>

<file path=xl/tables/table7.xml><?xml version="1.0" encoding="utf-8"?>
<table xmlns="http://schemas.openxmlformats.org/spreadsheetml/2006/main" id="7" name="Table_7" displayName="Table_7" ref="A1:G12" headerRowCount="1">
  <tableColumns count="7">
    <tableColumn id="1" name="重要性"/>
    <tableColumn id="2" name="規模"/>
    <tableColumn id="3" name="狀態"/>
    <tableColumn id="4" name="結果"/>
    <tableColumn id="5" name="風險等級"/>
    <tableColumn id="6" name="區域"/>
    <tableColumn id="7" name="檢測類型"/>
  </tableColumns>
  <tableStyleInfo name="選單值-style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20" customWidth="1" style="21" min="1" max="1"/>
    <col width="44" customWidth="1" style="21" min="2" max="2"/>
    <col width="10" customWidth="1" style="21" min="3" max="3"/>
    <col width="14" customWidth="1" style="21" min="4" max="4"/>
    <col width="10" customWidth="1" style="21" min="5" max="9"/>
    <col width="16" customWidth="1" style="21" min="10" max="10"/>
    <col width="10" customWidth="1" style="21" min="11" max="11"/>
    <col width="16" customWidth="1" style="21" min="12" max="12"/>
  </cols>
  <sheetData>
    <row r="1" ht="31.5" customHeight="1" s="21">
      <c r="A1" s="22" t="inlineStr">
        <is>
          <t>WCMS 整合收斂管理表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4" t="inlineStr">
        <is>
          <t>整合時間：2026-05-27 01:54｜已移除欄位：負責人/修正者、來源資料日期、實際花費時間、行號/方法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4" t="inlineStr">
        <is>
          <t>Sheet</t>
        </is>
      </c>
      <c r="B4" s="4" t="inlineStr">
        <is>
          <t>用途</t>
        </is>
      </c>
      <c r="C4" s="4" t="inlineStr">
        <is>
          <t>筆數</t>
        </is>
      </c>
      <c r="D4" s="4" t="inlineStr">
        <is>
          <t>緊急/Critical</t>
        </is>
      </c>
      <c r="E4" s="4" t="inlineStr">
        <is>
          <t>高</t>
        </is>
      </c>
      <c r="F4" s="4" t="inlineStr">
        <is>
          <t>中</t>
        </is>
      </c>
      <c r="G4" s="4" t="inlineStr">
        <is>
          <t>低</t>
        </is>
      </c>
      <c r="H4" s="4" t="inlineStr">
        <is>
          <t>待修</t>
        </is>
      </c>
      <c r="I4" s="4" t="inlineStr">
        <is>
          <t>處理中</t>
        </is>
      </c>
      <c r="J4" s="4" t="inlineStr">
        <is>
          <t>待規劃/待確認</t>
        </is>
      </c>
      <c r="K4" s="4" t="inlineStr">
        <is>
          <t>退回</t>
        </is>
      </c>
      <c r="L4" s="4" t="inlineStr">
        <is>
          <t>未驗收/待驗收</t>
        </is>
      </c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5" t="inlineStr">
        <is>
          <t>優先建議先修</t>
        </is>
      </c>
      <c r="B5" s="5" t="inlineStr">
        <is>
          <t>跨前後端的短期優先處理清單。</t>
        </is>
      </c>
      <c r="C5" s="6">
        <f>MAX(COUNTA('優先建議先修'!$A:$A)-1,0)</f>
        <v/>
      </c>
      <c r="D5" s="6">
        <f>COUNTIF('優先建議先修'!$I:$I,"緊急")+COUNTIF('優先建議先修'!$I:$I,"Critical")</f>
        <v/>
      </c>
      <c r="E5" s="6">
        <f>COUNTIF('優先建議先修'!$I:$I,"高")</f>
        <v/>
      </c>
      <c r="F5" s="6">
        <f>COUNTIF('優先建議先修'!$I:$I,"中")</f>
        <v/>
      </c>
      <c r="G5" s="6">
        <f>COUNTIF('優先建議先修'!$I:$I,"低")</f>
        <v/>
      </c>
      <c r="H5" s="6">
        <f>COUNTIF('優先建議先修'!$L:$L,"待修")</f>
        <v/>
      </c>
      <c r="I5" s="6">
        <f>COUNTIF('優先建議先修'!$L:$L,"處理中")</f>
        <v/>
      </c>
      <c r="J5" s="6">
        <f>COUNTIF('優先建議先修'!$L:$L,"待規劃")+COUNTIF('優先建議先修'!$L:$L,"待確認")</f>
        <v/>
      </c>
      <c r="K5" s="6">
        <f>COUNTIF('優先建議先修'!$L:$L,"退回")</f>
        <v/>
      </c>
      <c r="L5" s="6">
        <f>COUNTIF('優先建議先修'!$M:$M,"未驗收")+COUNTIF('優先建議先修'!$M:$M,"待驗收")</f>
        <v/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5" t="inlineStr">
        <is>
          <t>前端待修收斂表</t>
        </is>
      </c>
      <c r="B6" s="5" t="inlineStr">
        <is>
          <t>前台/前端畫面、SSR、AA、資料流待修。</t>
        </is>
      </c>
      <c r="C6" s="6">
        <f>MAX(COUNTA('前端待修收斂表'!$A:$A)-1,0)</f>
        <v/>
      </c>
      <c r="D6" s="6">
        <f>COUNTIF('前端待修收斂表'!$H:$H,"緊急")+COUNTIF('前端待修收斂表'!$H:$H,"Critical")</f>
        <v/>
      </c>
      <c r="E6" s="6">
        <f>COUNTIF('前端待修收斂表'!$H:$H,"高")</f>
        <v/>
      </c>
      <c r="F6" s="6">
        <f>COUNTIF('前端待修收斂表'!$H:$H,"中")</f>
        <v/>
      </c>
      <c r="G6" s="6">
        <f>COUNTIF('前端待修收斂表'!$H:$H,"低")</f>
        <v/>
      </c>
      <c r="H6" s="6">
        <f>COUNTIF('前端待修收斂表'!$K:$K,"待修")</f>
        <v/>
      </c>
      <c r="I6" s="6">
        <f>COUNTIF('前端待修收斂表'!$K:$K,"處理中")</f>
        <v/>
      </c>
      <c r="J6" s="6">
        <f>COUNTIF('前端待修收斂表'!$K:$K,"待規劃")+COUNTIF('前端待修收斂表'!$K:$K,"待確認")</f>
        <v/>
      </c>
      <c r="K6" s="6">
        <f>COUNTIF('前端待修收斂表'!$K:$K,"退回")</f>
        <v/>
      </c>
      <c r="L6" s="6">
        <f>COUNTIF('前端待修收斂表'!$L:$L,"未驗收")+COUNTIF('前端待修收斂表'!$L:$L,"待驗收")</f>
        <v/>
      </c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5" t="inlineStr">
        <is>
          <t>後端待修收斂表</t>
        </is>
      </c>
      <c r="B7" s="5" t="inlineStr">
        <is>
          <t>後台/後端管理功能待修與驗收。</t>
        </is>
      </c>
      <c r="C7" s="6">
        <f>MAX(COUNTA('後端待修收斂表'!$A:$A)-1,0)</f>
        <v/>
      </c>
      <c r="D7" s="6">
        <f>COUNTIF('後端待修收斂表'!$H:$H,"緊急")+COUNTIF('後端待修收斂表'!$H:$H,"Critical")</f>
        <v/>
      </c>
      <c r="E7" s="6">
        <f>COUNTIF('後端待修收斂表'!$H:$H,"高")</f>
        <v/>
      </c>
      <c r="F7" s="6">
        <f>COUNTIF('後端待修收斂表'!$H:$H,"中")</f>
        <v/>
      </c>
      <c r="G7" s="6">
        <f>COUNTIF('後端待修收斂表'!$H:$H,"低")</f>
        <v/>
      </c>
      <c r="H7" s="6">
        <f>COUNTIF('後端待修收斂表'!$K:$K,"待修")</f>
        <v/>
      </c>
      <c r="I7" s="6">
        <f>COUNTIF('後端待修收斂表'!$K:$K,"處理中")</f>
        <v/>
      </c>
      <c r="J7" s="6">
        <f>COUNTIF('後端待修收斂表'!$K:$K,"待規劃")+COUNTIF('後端待修收斂表'!$K:$K,"待確認")</f>
        <v/>
      </c>
      <c r="K7" s="6">
        <f>COUNTIF('後端待修收斂表'!$K:$K,"退回")</f>
        <v/>
      </c>
      <c r="L7" s="6">
        <f>COUNTIF('後端待修收斂表'!$L:$L,"未驗收")+COUNTIF('後端待修收斂表'!$L:$L,"待驗收")</f>
        <v/>
      </c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5" t="inlineStr">
        <is>
          <t>系統基礎模組收斂表</t>
        </is>
      </c>
      <c r="B8" s="5" t="inlineStr">
        <is>
          <t>Log、權限、安全治理、中後期架構規劃。</t>
        </is>
      </c>
      <c r="C8" s="6">
        <f>MAX(COUNTA('系統基礎模組收斂表'!$A:$A)-1,0)</f>
        <v/>
      </c>
      <c r="D8" s="6">
        <f>COUNTIF('系統基礎模組收斂表'!$D:$D,"緊急")+COUNTIF('系統基礎模組收斂表'!$D:$D,"Critical")</f>
        <v/>
      </c>
      <c r="E8" s="6">
        <f>COUNTIF('系統基礎模組收斂表'!$D:$D,"高")</f>
        <v/>
      </c>
      <c r="F8" s="6">
        <f>COUNTIF('系統基礎模組收斂表'!$D:$D,"中")</f>
        <v/>
      </c>
      <c r="G8" s="6">
        <f>COUNTIF('系統基礎模組收斂表'!$D:$D,"低")</f>
        <v/>
      </c>
      <c r="H8" s="6">
        <f>COUNTIF('系統基礎模組收斂表'!$G:$G,"待修")</f>
        <v/>
      </c>
      <c r="I8" s="6">
        <f>COUNTIF('系統基礎模組收斂表'!$G:$G,"處理中")</f>
        <v/>
      </c>
      <c r="J8" s="6">
        <f>COUNTIF('系統基礎模組收斂表'!$G:$G,"待規劃")+COUNTIF('系統基礎模組收斂表'!$G:$G,"待確認")</f>
        <v/>
      </c>
      <c r="K8" s="6">
        <f>COUNTIF('系統基礎模組收斂表'!$G:$G,"退回")</f>
        <v/>
      </c>
      <c r="L8" s="6">
        <f>COUNTIF('系統基礎模組收斂表'!$K:$K,"未驗收")+COUNTIF('系統基礎模組收斂表'!$K:$K,"待驗收")</f>
        <v/>
      </c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5" t="inlineStr">
        <is>
          <t>白帽檢測結果</t>
        </is>
      </c>
      <c r="B9" s="5" t="inlineStr">
        <is>
          <t>原始碼白帽檢測結果回填與修正追蹤。</t>
        </is>
      </c>
      <c r="C9" s="6">
        <f>MAX(COUNTA('白帽檢測結果'!$A:$A)-1,0)</f>
        <v/>
      </c>
      <c r="D9" s="6">
        <f>COUNTIF('白帽檢測結果'!$D:$D,"緊急")+COUNTIF('白帽檢測結果'!$D:$D,"Critical")</f>
        <v/>
      </c>
      <c r="E9" s="6">
        <f>COUNTIF('白帽檢測結果'!$D:$D,"高")</f>
        <v/>
      </c>
      <c r="F9" s="6">
        <f>COUNTIF('白帽檢測結果'!$D:$D,"中")</f>
        <v/>
      </c>
      <c r="G9" s="6">
        <f>COUNTIF('白帽檢測結果'!$D:$D,"低")</f>
        <v/>
      </c>
      <c r="H9" s="6">
        <f>COUNTIF('白帽檢測結果'!$J:$J,"待修")</f>
        <v/>
      </c>
      <c r="I9" s="6">
        <f>COUNTIF('白帽檢測結果'!$J:$J,"處理中")</f>
        <v/>
      </c>
      <c r="J9" s="6">
        <f>COUNTIF('白帽檢測結果'!$J:$J,"待規劃")+COUNTIF('白帽檢測結果'!$J:$J,"待確認")</f>
        <v/>
      </c>
      <c r="K9" s="6">
        <f>COUNTIF('白帽檢測結果'!$J:$J,"退回")</f>
        <v/>
      </c>
      <c r="L9" s="6">
        <f>COUNTIF('白帽檢測結果'!$M:$M,"未驗收")+COUNTIF('白帽檢測結果'!$M:$M,"待驗收")</f>
        <v/>
      </c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5" t="inlineStr">
        <is>
          <t>檢測範圍對照</t>
        </is>
      </c>
      <c r="B10" s="5" t="inlineStr">
        <is>
          <t>白帽檢測範圍與代表檔案對照。</t>
        </is>
      </c>
      <c r="C10" s="6">
        <f>MAX(COUNTA('檢測範圍對照'!$A:$A)-1,0)</f>
        <v/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5" t="inlineStr">
        <is>
          <t>修正驗收紀錄</t>
        </is>
      </c>
      <c r="B11" s="5" t="inlineStr">
        <is>
          <t>修正後自測、複測、AA/弱掃回歸紀錄。</t>
        </is>
      </c>
      <c r="C11" s="6">
        <f>MAX(COUNTA('修正驗收紀錄'!$A:$A)-1,0)</f>
        <v/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7" t="inlineStr">
        <is>
          <t>合計</t>
        </is>
      </c>
      <c r="B12" s="8" t="inlineStr">
        <is>
          <t>主要追蹤 sheet 合計</t>
        </is>
      </c>
      <c r="C12" s="8">
        <f>SUM(C5:C11)</f>
        <v/>
      </c>
      <c r="D12" s="8">
        <f>SUM(D5:D11)</f>
        <v/>
      </c>
      <c r="E12" s="8">
        <f>SUM(E5:E11)</f>
        <v/>
      </c>
      <c r="F12" s="8">
        <f>SUM(F5:F11)</f>
        <v/>
      </c>
      <c r="G12" s="8">
        <f>SUM(G5:G11)</f>
        <v/>
      </c>
      <c r="H12" s="8">
        <f>SUM(H5:H11)</f>
        <v/>
      </c>
      <c r="I12" s="8">
        <f>SUM(I5:I11)</f>
        <v/>
      </c>
      <c r="J12" s="8">
        <f>SUM(J5:J11)</f>
        <v/>
      </c>
      <c r="K12" s="8">
        <f>SUM(K5:K11)</f>
        <v/>
      </c>
      <c r="L12" s="8">
        <f>SUM(L5:L11)</f>
        <v/>
      </c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27.75" customHeight="1" s="21">
      <c r="A15" s="25" t="inlineStr">
        <is>
          <t>使用方式：先從「優先建議先修」處理短期項目；白帽原始碼檢測結果請回填「白帽檢測結果」，修正後再記錄到「修正驗收紀錄」。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3">
    <mergeCell ref="A2:L2"/>
    <mergeCell ref="A15:L15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16" customWidth="1" style="21" min="2" max="2"/>
    <col width="8" customWidth="1" style="21" min="3" max="3"/>
    <col width="22" customWidth="1" style="21" min="4" max="5"/>
    <col width="42" customWidth="1" style="21" min="6" max="6"/>
    <col width="16" customWidth="1" style="21" min="7" max="7"/>
    <col width="12" customWidth="1" style="21" min="8" max="9"/>
    <col width="13" customWidth="1" style="21" min="10" max="10"/>
    <col width="21.25" customWidth="1" style="21" min="11" max="11"/>
    <col width="12" customWidth="1" style="21" min="12" max="12"/>
    <col width="13" customWidth="1" style="21" min="13" max="13"/>
    <col width="36" customWidth="1" style="21" min="14" max="14"/>
    <col width="42" customWidth="1" style="21" min="15" max="15"/>
    <col width="8.630000114440918" customWidth="1" style="21" min="16" max="18"/>
  </cols>
  <sheetData>
    <row r="1" ht="25.5" customHeight="1" s="21">
      <c r="A1" s="11" t="inlineStr">
        <is>
          <t>排序</t>
        </is>
      </c>
      <c r="B1" s="11" t="inlineStr">
        <is>
          <t>來源</t>
        </is>
      </c>
      <c r="C1" s="11" t="inlineStr">
        <is>
          <t>原始序號</t>
        </is>
      </c>
      <c r="D1" s="11" t="inlineStr">
        <is>
          <t>項目</t>
        </is>
      </c>
      <c r="E1" s="11" t="inlineStr">
        <is>
          <t>模組/對應功能</t>
        </is>
      </c>
      <c r="F1" s="11" t="inlineStr">
        <is>
          <t>問題/收斂內容</t>
        </is>
      </c>
      <c r="G1" s="11" t="inlineStr">
        <is>
          <t>類型</t>
        </is>
      </c>
      <c r="H1" s="11" t="inlineStr">
        <is>
          <t>重要性</t>
        </is>
      </c>
      <c r="I1" s="11" t="inlineStr">
        <is>
          <t>規模</t>
        </is>
      </c>
      <c r="J1" s="11" t="inlineStr">
        <is>
          <t>預計花費時間(hr)</t>
        </is>
      </c>
      <c r="K1" s="11" t="inlineStr">
        <is>
          <t>狀態</t>
        </is>
      </c>
      <c r="L1" s="11" t="inlineStr">
        <is>
          <t>結果</t>
        </is>
      </c>
      <c r="M1" s="11" t="inlineStr">
        <is>
          <t>完成日期</t>
        </is>
      </c>
      <c r="N1" s="11" t="inlineStr">
        <is>
          <t>專案對標/代表檔案</t>
        </is>
      </c>
      <c r="O1" s="11" t="inlineStr">
        <is>
          <t>驗收重點/備註</t>
        </is>
      </c>
      <c r="P1" s="12" t="inlineStr">
        <is>
          <t>複驗備註</t>
        </is>
      </c>
      <c r="Q1" s="12" t="inlineStr">
        <is>
          <t>複驗日期</t>
        </is>
      </c>
      <c r="R1" s="12" t="inlineStr">
        <is>
          <t>退回原因</t>
        </is>
      </c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18" t="n">
        <v>1</v>
      </c>
      <c r="B2" s="18" t="inlineStr">
        <is>
          <t>前台問題追蹤表(ORD)</t>
        </is>
      </c>
      <c r="C2" s="18" t="inlineStr">
        <is>
          <t>135</t>
        </is>
      </c>
      <c r="D2" s="18" t="inlineStr">
        <is>
          <t>學術發展組/
研究榮譽/
優秀學位論文與創作獎</t>
        </is>
      </c>
      <c r="E2" s="18" t="inlineStr">
        <is>
          <t>SpecResearch / SpecUSR</t>
        </is>
      </c>
      <c r="F2" s="18" t="inlineStr">
        <is>
          <t>正式站的標題錯誤，請改成"系所"</t>
        </is>
      </c>
      <c r="G2" s="18" t="inlineStr">
        <is>
          <t>多語系</t>
        </is>
      </c>
      <c r="H2" s="18" t="inlineStr">
        <is>
          <t>緊急</t>
        </is>
      </c>
      <c r="I2" s="18" t="inlineStr">
        <is>
          <t>S</t>
        </is>
      </c>
      <c r="J2" s="18" t="n">
        <v>1</v>
      </c>
      <c r="K2" s="18" t="inlineStr">
        <is>
          <t>已完成</t>
        </is>
      </c>
      <c r="L2" s="18" t="inlineStr">
        <is>
          <t>複驗通過</t>
        </is>
      </c>
      <c r="M2" s="18" t="inlineStr">
        <is>
          <t>2026-05-27</t>
        </is>
      </c>
      <c r="N2" s="18" t="inlineStr">
        <is>
          <t>src/SpecFetures/1810/Pages/Server/BizFunc/WEB/SpecResearch；SpecUSR</t>
        </is>
      </c>
      <c r="O2" s="18" t="inlineStr">
        <is>
          <t>未更改</t>
        </is>
      </c>
      <c r="P2" s="12" t="inlineStr">
        <is>
          <t>已依 GitHub main 複驗：Spec1810 zh-TW resx 中 SpecResearch_Department 顯示為「系所」，符合原需求。AA/SSR/弱掃/API 風險低，屬文案/多語系資源修正。</t>
        </is>
      </c>
      <c r="Q2" s="12" t="inlineStr">
        <is>
          <t>2026-05-27</t>
        </is>
      </c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15" t="n">
        <v>2</v>
      </c>
      <c r="B3" s="15" t="inlineStr">
        <is>
          <t>前台問題追蹤表(ORD)</t>
        </is>
      </c>
      <c r="C3" s="15" t="inlineStr">
        <is>
          <t>163</t>
        </is>
      </c>
      <c r="D3" s="15" t="inlineStr">
        <is>
          <t>公告/活動公告</t>
        </is>
      </c>
      <c r="E3" s="15" t="inlineStr">
        <is>
          <t>Announcement</t>
        </is>
      </c>
      <c r="F3" s="15" t="inlineStr">
        <is>
          <t>首頁的活動公告有組別，但內頁活動公告顯示類別，改成首頁和內頁的活動公告都要有組別及類別的顯示</t>
        </is>
      </c>
      <c r="G3" s="15" t="inlineStr">
        <is>
          <t>功能/資料</t>
        </is>
      </c>
      <c r="H3" s="15" t="inlineStr">
        <is>
          <t>緊急</t>
        </is>
      </c>
      <c r="I3" s="15" t="inlineStr">
        <is>
          <t>S</t>
        </is>
      </c>
      <c r="J3" s="15" t="n">
        <v>1</v>
      </c>
      <c r="K3" s="15" t="inlineStr">
        <is>
          <t>退回，未通過</t>
        </is>
      </c>
      <c r="L3" s="15" t="inlineStr">
        <is>
          <t>複驗未通過</t>
        </is>
      </c>
      <c r="M3" s="15" t="n"/>
      <c r="N3" s="15" t="inlineStr">
        <is>
          <t>src/Features/Pages/Server/BizFunc/WEB/Announcement；src/Features/Pages/Client/BizFunc/WEB/Announcement</t>
        </is>
      </c>
      <c r="O3" s="15" t="inlineStr">
        <is>
          <t>同162?</t>
        </is>
      </c>
      <c r="P3" s="17" t="inlineStr">
        <is>
          <t>已依 GitHub main 複驗：AnnouncementForm 會把 categoryNameText、tagNameText、date 組成 subTitle，但共用 ModuleContent.SubTitle 目前只渲染 cat 與 date，沒有渲染 tag/組別；因此內頁尚無法同時顯示組別與類別。</t>
        </is>
      </c>
      <c r="Q3" s="17" t="inlineStr">
        <is>
          <t>2026-05-27</t>
        </is>
      </c>
      <c r="R3" s="17" t="inlineStr">
        <is>
          <t>不符合處：活動公告內頁未同時顯示組別與類別。影響範圍：AnnouncementForm 內頁、活動公告/最新消息詳細頁資訊一致性；首頁與內頁顯示語意不一致。對應檔案：src/Features/Pages/Client/BizFunc/WEB/Announcement/AnnouncementForm.tsx、src/Features/Pages/Client/Scaffold/SubPages/layouts/RightFrame/ModuleContent.tsx。建議：ModuleContent.SubTitle 需補渲染 props.tag，並確認組別/類別分別對應 tag/category；必要時調整 aria-label 文案。涉及 AA/UI/資料顯示一致性。</t>
        </is>
      </c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18" t="n">
        <v>3</v>
      </c>
      <c r="B4" s="18" t="inlineStr">
        <is>
          <t>前台問題追蹤表(ORD)</t>
        </is>
      </c>
      <c r="C4" s="18" t="inlineStr">
        <is>
          <t>72</t>
        </is>
      </c>
      <c r="D4" s="18" t="inlineStr">
        <is>
          <t>首頁/永續發展暨社會責任實踐計畫推動中心/教育部推動USR計畫/
第四期(114-116年)計畫</t>
        </is>
      </c>
      <c r="E4" s="18" t="inlineStr">
        <is>
          <t>SpecResearch / SpecUSR</t>
        </is>
      </c>
      <c r="F4" s="18" t="inlineStr">
        <is>
          <t>1. 資料未按照年份顯示
2. 未放圖片會顯示灰底的預設圖片</t>
        </is>
      </c>
      <c r="G4" s="18" t="inlineStr">
        <is>
          <t>功能/資料</t>
        </is>
      </c>
      <c r="H4" s="18" t="inlineStr">
        <is>
          <t>緊急</t>
        </is>
      </c>
      <c r="I4" s="18" t="inlineStr">
        <is>
          <t>S</t>
        </is>
      </c>
      <c r="J4" s="18" t="n">
        <v>1</v>
      </c>
      <c r="K4" s="18" t="inlineStr">
        <is>
          <t>待確認</t>
        </is>
      </c>
      <c r="L4" s="18" t="inlineStr">
        <is>
          <t>待驗收</t>
        </is>
      </c>
      <c r="M4" s="18" t="n"/>
      <c r="N4" s="18" t="inlineStr">
        <is>
          <t>src/SpecFetures/1810/Pages/Server/BizFunc/WEB/SpecResearch；SpecUSR</t>
        </is>
      </c>
      <c r="O4" s="18" t="inlineStr">
        <is>
          <t>隱藏無法測試</t>
        </is>
      </c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15" t="n">
        <v>4</v>
      </c>
      <c r="B5" s="15" t="inlineStr">
        <is>
          <t>前台問題追蹤表(ORD)</t>
        </is>
      </c>
      <c r="C5" s="15" t="inlineStr">
        <is>
          <t>164</t>
        </is>
      </c>
      <c r="D5" s="15" t="inlineStr">
        <is>
          <t>公告</t>
        </is>
      </c>
      <c r="E5" s="15" t="inlineStr">
        <is>
          <t>Announcement</t>
        </is>
      </c>
      <c r="F5" s="15" t="inlineStr">
        <is>
          <t>公告可改成未來日期，前台日期未到不應該能看到該公告
改前台問題:首頁和子頁條件都要加上控制</t>
        </is>
      </c>
      <c r="G5" s="15" t="inlineStr">
        <is>
          <t>功能/資料</t>
        </is>
      </c>
      <c r="H5" s="15" t="inlineStr">
        <is>
          <t>緊急</t>
        </is>
      </c>
      <c r="I5" s="15" t="inlineStr">
        <is>
          <t>S</t>
        </is>
      </c>
      <c r="J5" s="15" t="n">
        <v>1</v>
      </c>
      <c r="K5" s="15" t="inlineStr">
        <is>
          <t>已完成</t>
        </is>
      </c>
      <c r="L5" s="15" t="inlineStr">
        <is>
          <t>複驗通過（保留技術債）</t>
        </is>
      </c>
      <c r="M5" s="15" t="inlineStr">
        <is>
          <t>2026-05-27</t>
        </is>
      </c>
      <c r="N5" s="15" t="inlineStr">
        <is>
          <t>src/Features/Pages/Server/BizFunc/WEB/Announcement；src/Features/Pages/Client/BizFunc/WEB/Announcement</t>
        </is>
      </c>
      <c r="O5" s="15" t="inlineStr">
        <is>
          <t>因時程關係，暫時用前端來判斷有效日期時間，多少會有客戶端修改時間的風險。之後再改到後端開新的api寫死抓系統時間為依據。</t>
        </is>
      </c>
      <c r="P5" s="12" t="inlineStr">
        <is>
          <t>已依 GitHub main 複驗：AnnouncementList_Loader 已用 Validate_Start &lt;= dayEnd、Validate_End &gt;= dayStart 或 null、ContentStatus !&amp; 4 組查詢條件，首頁/子頁共用 loader 可擋未到日期資料。仍建議後續移到後端 API 以系統時間為準。</t>
        </is>
      </c>
      <c r="Q5" s="12" t="inlineStr">
        <is>
          <t>2026-05-27</t>
        </is>
      </c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18" t="n">
        <v>5</v>
      </c>
      <c r="B6" s="18" t="inlineStr">
        <is>
          <t>前台問題追蹤表(ORD)</t>
        </is>
      </c>
      <c r="C6" s="18" t="inlineStr">
        <is>
          <t>132</t>
        </is>
      </c>
      <c r="D6" s="18" t="inlineStr">
        <is>
          <t>USR計畫</t>
        </is>
      </c>
      <c r="E6" s="18" t="inlineStr">
        <is>
          <t>SpecResearch / SpecUSR</t>
        </is>
      </c>
      <c r="F6" s="18" t="inlineStr">
        <is>
          <t>1810測試站後台
USR計畫表格增加一欄"計畫類型"</t>
        </is>
      </c>
      <c r="G6" s="18" t="inlineStr">
        <is>
          <t>功能/資料</t>
        </is>
      </c>
      <c r="H6" s="18" t="inlineStr">
        <is>
          <t>緊急</t>
        </is>
      </c>
      <c r="I6" s="18" t="inlineStr">
        <is>
          <t>M</t>
        </is>
      </c>
      <c r="J6" s="18" t="n">
        <v>2</v>
      </c>
      <c r="K6" s="18" t="inlineStr">
        <is>
          <t>退回，未通過</t>
        </is>
      </c>
      <c r="L6" s="18" t="inlineStr">
        <is>
          <t>複驗未通過</t>
        </is>
      </c>
      <c r="M6" s="18" t="n"/>
      <c r="N6" s="18" t="inlineStr">
        <is>
          <t>src/SpecFetures/1810/Pages/Server/BizFunc/WEB/SpecResearch；SpecUSR</t>
        </is>
      </c>
      <c r="O6" s="18" t="inlineStr">
        <is>
          <t>已完成可測試</t>
        </is>
      </c>
      <c r="P6" s="17" t="inlineStr">
        <is>
          <t>已依 GitHub main 複驗：Server_SpecUSR_Form_Comp 的 DetailComp orderedKeys 與欄位 node 清單中未看到「計畫類型」或 ProjectType 欄位；GitHub 搜尋也未找到「計畫類型」相關實作。</t>
        </is>
      </c>
      <c r="Q6" s="17" t="inlineStr">
        <is>
          <t>2026-05-27</t>
        </is>
      </c>
      <c r="R6" s="17" t="inlineStr">
        <is>
          <t>不符合處：1810 測試站後台 USR 計畫尚未看到「計畫類型」欄位。影響範圍：SpecUSR 後台新增/編輯資料欄位，前台若需顯示也無資料來源。對應檔案：src/SpecFetures/1810/Pages/Server/BizFunc/WEB/SpecUSR/Server_SpecUSR_Form_Comp.tsx、Server_SpecUSR_Form_Hook.ts。建議：先確認 DB/API schema 是否已新增 ProjectType；若已新增，需補 SchemaFields、ModelDisplayName、orderedKeys 與 makeNodes；若未新增，需先後端模型/資料庫處理。涉及 API/TypeScript/資料欄位。</t>
        </is>
      </c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5" t="n">
        <v>6</v>
      </c>
      <c r="B7" s="15" t="inlineStr">
        <is>
          <t>前台問題追蹤表(ORD)</t>
        </is>
      </c>
      <c r="C7" s="15" t="inlineStr">
        <is>
          <t>133</t>
        </is>
      </c>
      <c r="D7" s="15" t="inlineStr">
        <is>
          <t>USR計畫</t>
        </is>
      </c>
      <c r="E7" s="15" t="inlineStr">
        <is>
          <t>SpecResearch / SpecUSR</t>
        </is>
      </c>
      <c r="F7" s="15" t="inlineStr">
        <is>
          <t>1810測試站前台
USR計畫表格增加一欄"計畫類型"</t>
        </is>
      </c>
      <c r="G7" s="15" t="inlineStr">
        <is>
          <t>功能/資料</t>
        </is>
      </c>
      <c r="H7" s="15" t="inlineStr">
        <is>
          <t>緊急</t>
        </is>
      </c>
      <c r="I7" s="15" t="inlineStr">
        <is>
          <t>M</t>
        </is>
      </c>
      <c r="J7" s="15" t="n">
        <v>2</v>
      </c>
      <c r="K7" s="15" t="inlineStr">
        <is>
          <t>退回，未通過</t>
        </is>
      </c>
      <c r="L7" s="15" t="inlineStr">
        <is>
          <t>複驗未通過</t>
        </is>
      </c>
      <c r="M7" s="15" t="n"/>
      <c r="N7" s="15" t="inlineStr">
        <is>
          <t>src/SpecFetures/1810/Pages/Server/BizFunc/WEB/SpecResearch；SpecUSR</t>
        </is>
      </c>
      <c r="O7" s="15" t="inlineStr">
        <is>
          <t>已完成可測試</t>
        </is>
      </c>
      <c r="P7" s="17" t="inlineStr">
        <is>
          <t>已依 GitHub main 複驗：SpecUSR_List.tsx 的清單欄位 COLS 與 SpecUSR_Form_Comp 的 allCols 皆未包含「計畫類型」或 ProjectType；前台清單/內頁尚無法顯示此欄位。</t>
        </is>
      </c>
      <c r="Q7" s="17" t="inlineStr">
        <is>
          <t>2026-05-27</t>
        </is>
      </c>
      <c r="R7" s="17" t="inlineStr">
        <is>
          <t>不符合處：1810 測試站前台 USR 計畫尚未看到「計畫類型」欄位。影響範圍：SpecUSR 前台 list/detail 顯示、ShowColumnItems 設定、ModelDisplayName 欄位標題。對應檔案：src/SpecFetures/1810/Pages/Client/BizFunc/WEB/SpecUSR/SpecUSR_List.tsx、SpecUSR_Form_Comp.tsx。建議：補 ProjectType 至前台 COLS/allCols/showColumns 流程，並確保後台可輸入與 API 有回傳。涉及 UI/TypeScript/API。</t>
        </is>
      </c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8" t="n">
        <v>7</v>
      </c>
      <c r="B8" s="18" t="inlineStr">
        <is>
          <t>前台問題追蹤表(ORD)</t>
        </is>
      </c>
      <c r="C8" s="18" t="inlineStr">
        <is>
          <t>137</t>
        </is>
      </c>
      <c r="D8" s="18" t="inlineStr">
        <is>
          <t>學術發展組/活動花絮/活動相簿</t>
        </is>
      </c>
      <c r="E8" s="18" t="inlineStr">
        <is>
          <t>Gallery</t>
        </is>
      </c>
      <c r="F8" s="18" t="inlineStr">
        <is>
          <t>1/ 除了每頁的第一本之外，點選任一相簿進入內頁會直接到底部或中間，正確要為TOP位置。
2/ 內頁右下角缺少【回上一頁】按鍵。
3/ 第二頁點選任一相簿後再點擊【回上一頁】或【返回上一層】會直接回到第一頁，正確要為第二頁。</t>
        </is>
      </c>
      <c r="G8" s="18" t="inlineStr">
        <is>
          <t>功能/資料</t>
        </is>
      </c>
      <c r="H8" s="18" t="inlineStr">
        <is>
          <t>緊急</t>
        </is>
      </c>
      <c r="I8" s="18" t="inlineStr">
        <is>
          <t>M</t>
        </is>
      </c>
      <c r="J8" s="18" t="n">
        <v>2</v>
      </c>
      <c r="K8" s="18" t="inlineStr">
        <is>
          <t>退回，未通過</t>
        </is>
      </c>
      <c r="L8" s="18" t="inlineStr">
        <is>
          <t>複驗未通過</t>
        </is>
      </c>
      <c r="M8" s="18" t="n"/>
      <c r="N8" s="18" t="inlineStr">
        <is>
          <t>src/Features/Pages/Server/BizFunc/WEB/Gallery；src/Features/Pages/Client/BizFunc/WEB/Gallery</t>
        </is>
      </c>
      <c r="O8" s="18" t="inlineStr">
        <is>
          <t>回上一頁的需求在其他項目已有，僅須驗證切換頁面的時候自動回到最上方</t>
        </is>
      </c>
      <c r="P8" s="12" t="inlineStr">
        <is>
          <t>已依 GitHub main 複驗：GalleryForm 內頁雖已走 ModuleContent 與 Client_DataQueryTemplate，且圖片 alt/a11y 文案已有處理；但程式碼未看到右下角「回上一頁」按鍵，也無明確保留第二頁返回頁碼的 URL/history state 機制，不能視為此多點需求已完成。</t>
        </is>
      </c>
      <c r="Q8" s="12" t="inlineStr">
        <is>
          <t>2026-05-27</t>
        </is>
      </c>
      <c r="R8" s="0" t="inlineStr">
        <is>
          <t>不符合處：相簿內頁缺少「回上一頁」按鍵，且返回列表後保持原頁碼仍需實作/實機驗證。影響範圍：Gallery 清單/內頁、手機與鍵盤使用者返回流程。對應檔案：src/Features/Pages/Client/BizFunc/WEB/Gallery/GalleryForm_Comp.tsx、GalleryList_Comp.tsx、ModuleContent.tsx。建議：在 ModuleContent 或 GalleryForm 追加可重用 BackButton；列表頁碼以 URL query 或 history state 保存。涉及 AA/UI/SSR 導航體驗。</t>
        </is>
      </c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5" t="n">
        <v>8</v>
      </c>
      <c r="B9" s="15" t="inlineStr">
        <is>
          <t>前台問題追蹤表(ORD)</t>
        </is>
      </c>
      <c r="C9" s="15" t="inlineStr">
        <is>
          <t>174</t>
        </is>
      </c>
      <c r="D9" s="15" t="inlineStr">
        <is>
          <t>SearchBar / QueryTemplate</t>
        </is>
      </c>
      <c r="E9" s="15" t="inlineStr">
        <is>
          <t>SearchBar / QueryTemplate</t>
        </is>
      </c>
      <c r="F9" s="15" t="inlineStr">
        <is>
          <t>搜尋功能輸入關鍵字後無法搜尋</t>
        </is>
      </c>
      <c r="G9" s="15" t="inlineStr">
        <is>
          <t>搜尋</t>
        </is>
      </c>
      <c r="H9" s="15" t="inlineStr">
        <is>
          <t>緊急</t>
        </is>
      </c>
      <c r="I9" s="15" t="inlineStr">
        <is>
          <t>M</t>
        </is>
      </c>
      <c r="J9" s="15" t="n">
        <v>2</v>
      </c>
      <c r="K9" s="15" t="inlineStr">
        <is>
          <t>已完成</t>
        </is>
      </c>
      <c r="L9" s="15" t="inlineStr">
        <is>
          <t>複驗通過（Announcement 範圍）</t>
        </is>
      </c>
      <c r="M9" s="15" t="inlineStr">
        <is>
          <t>2026-05-27</t>
        </is>
      </c>
      <c r="N9" s="15" t="inlineStr">
        <is>
          <t>Server_SearchBar；Client_SearchBar；DataQueryTemplate</t>
        </is>
      </c>
      <c r="O9" s="15" t="inlineStr">
        <is>
          <t>注:只測試非1810的搜尋條件功能(前台)</t>
        </is>
      </c>
      <c r="P9" s="12" t="inlineStr">
        <is>
          <t>AnnouncementList 已接 SearchBarComp，送出後將 keyword 帶入 useAnnouncementListData；loader 會組 Title Like 查詢條件。其他模組仍需逐一抽查，不建議直接視為全站 SearchBar 全通過。</t>
        </is>
      </c>
      <c r="Q9" s="12" t="inlineStr">
        <is>
          <t>2026-05-27</t>
        </is>
      </c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8" t="n">
        <v>9</v>
      </c>
      <c r="B10" s="18" t="inlineStr">
        <is>
          <t>前台問題追蹤表(ORD)</t>
        </is>
      </c>
      <c r="C10" s="18" t="inlineStr">
        <is>
          <t>175</t>
        </is>
      </c>
      <c r="D10" s="18" t="inlineStr">
        <is>
          <t>全內頁</t>
        </is>
      </c>
      <c r="E10" s="18" t="inlineStr">
        <is>
          <t>共用 / 待判斷</t>
        </is>
      </c>
      <c r="F10" s="18" t="inlineStr">
        <is>
          <t>內頁右下角都要有"回上一頁"功能，另外需與"返回上一層"的邏輯分清楚</t>
        </is>
      </c>
      <c r="G10" s="18" t="inlineStr">
        <is>
          <t>功能/資料</t>
        </is>
      </c>
      <c r="H10" s="18" t="inlineStr">
        <is>
          <t>緊急</t>
        </is>
      </c>
      <c r="I10" s="18" t="inlineStr">
        <is>
          <t>M</t>
        </is>
      </c>
      <c r="J10" s="18" t="n">
        <v>2</v>
      </c>
      <c r="K10" s="18" t="inlineStr">
        <is>
          <t>待修</t>
        </is>
      </c>
      <c r="L10" s="18" t="inlineStr">
        <is>
          <t>未驗收</t>
        </is>
      </c>
      <c r="M10" s="18" t="n"/>
      <c r="N10" s="18" t="inlineStr">
        <is>
          <t>需依實際路由與功能檔案確認</t>
        </is>
      </c>
      <c r="O10" s="18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5" t="n">
        <v>10</v>
      </c>
      <c r="B11" s="15" t="inlineStr">
        <is>
          <t>前台問題追蹤表(ORD)</t>
        </is>
      </c>
      <c r="C11" s="15" t="inlineStr">
        <is>
          <t>176</t>
        </is>
      </c>
      <c r="D11" s="15" t="inlineStr">
        <is>
          <t>網路資源</t>
        </is>
      </c>
      <c r="E11" s="15" t="inlineStr">
        <is>
          <t>WebResource</t>
        </is>
      </c>
      <c r="F11" s="15" t="inlineStr">
        <is>
          <t>1816：館藏資源/特色館藏/特色館藏列表，應為表格式呈現，但畫面未出現</t>
        </is>
      </c>
      <c r="G11" s="15" t="inlineStr">
        <is>
          <t>功能/資料</t>
        </is>
      </c>
      <c r="H11" s="15" t="inlineStr">
        <is>
          <t>緊急</t>
        </is>
      </c>
      <c r="I11" s="15" t="inlineStr">
        <is>
          <t>M</t>
        </is>
      </c>
      <c r="J11" s="15" t="n">
        <v>2</v>
      </c>
      <c r="K11" s="15" t="inlineStr">
        <is>
          <t>已完成</t>
        </is>
      </c>
      <c r="L11" s="15" t="inlineStr">
        <is>
          <t>複驗通過（程式碼層）</t>
        </is>
      </c>
      <c r="M11" s="15" t="inlineStr">
        <is>
          <t>2026-05-27</t>
        </is>
      </c>
      <c r="N11" s="15" t="inlineStr">
        <is>
          <t>src/Features/Pages/Server/BizFunc/WEB/WebResource；src/Features/Pages/Client/BizFunc/WEB/WebResource</t>
        </is>
      </c>
      <c r="O11" s="15" t="n"/>
      <c r="P11" s="17" t="inlineStr">
        <is>
          <t>已依 GitHub main 複驗：WebResourceList 依 Style 切換；Style 1/default 會走 GridList_Comp 並渲染 table，程式碼層可支援表格式呈現。仍需確認 1816 選單版型 option 是否設定為 Style=1，避免資料設定造成畫面未出現。</t>
        </is>
      </c>
      <c r="Q11" s="17" t="inlineStr">
        <is>
          <t>2026-05-27</t>
        </is>
      </c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8" t="n">
        <v>11</v>
      </c>
      <c r="B12" s="18" t="inlineStr">
        <is>
          <t>前台問題追蹤表(ORD)</t>
        </is>
      </c>
      <c r="C12" s="18" t="inlineStr">
        <is>
          <t>115</t>
        </is>
      </c>
      <c r="D12" s="18" t="inlineStr">
        <is>
          <t>相簿</t>
        </is>
      </c>
      <c r="E12" s="18" t="inlineStr">
        <is>
          <t>Gallery</t>
        </is>
      </c>
      <c r="F12" s="18" t="inlineStr">
        <is>
          <t>相簿應顯示上架日期，非上稿日期</t>
        </is>
      </c>
      <c r="G12" s="18" t="inlineStr">
        <is>
          <t>排序/狀態</t>
        </is>
      </c>
      <c r="H12" s="18" t="inlineStr">
        <is>
          <t>緊急</t>
        </is>
      </c>
      <c r="I12" s="18" t="inlineStr">
        <is>
          <t>M</t>
        </is>
      </c>
      <c r="J12" s="18" t="n">
        <v>2</v>
      </c>
      <c r="K12" s="18" t="inlineStr">
        <is>
          <t>已完成</t>
        </is>
      </c>
      <c r="L12" s="18" t="inlineStr">
        <is>
          <t>複驗通過</t>
        </is>
      </c>
      <c r="M12" s="18" t="inlineStr">
        <is>
          <t>2026-05-27</t>
        </is>
      </c>
      <c r="N12" s="18" t="inlineStr">
        <is>
          <t>src/Features/Pages/Server/BizFunc/WEB/Gallery；src/Features/Pages/Client/BizFunc/WEB/Gallery</t>
        </is>
      </c>
      <c r="O12" s="18" t="inlineStr">
        <is>
          <t>已完成</t>
        </is>
      </c>
      <c r="P12" s="17" t="inlineStr">
        <is>
          <t>已依 GitHub main 複驗：GalleryList 以 Gallery.Validate_Start 作為日期顯示，非 CreateTime；圖片 alt 以相片標題 fallback 至相簿名稱，AA 風險可接受。</t>
        </is>
      </c>
      <c r="Q12" s="17" t="inlineStr">
        <is>
          <t>2026-05-27</t>
        </is>
      </c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5" t="n">
        <v>12</v>
      </c>
      <c r="B13" s="15" t="inlineStr">
        <is>
          <t>前台問題追蹤表(ORD)</t>
        </is>
      </c>
      <c r="C13" s="15" t="inlineStr">
        <is>
          <t>142</t>
        </is>
      </c>
      <c r="D13" s="15" t="inlineStr">
        <is>
          <t>正式站
頁尾調整</t>
        </is>
      </c>
      <c r="E13" s="15" t="inlineStr">
        <is>
          <t>SpecResearch / SpecUSR</t>
        </is>
      </c>
      <c r="F13" s="15" t="inlineStr">
        <is>
          <t>頁尾產學暨育成中心連結未更新、新增"研究亮點"的連結</t>
        </is>
      </c>
      <c r="G13" s="15" t="inlineStr">
        <is>
          <t>功能/資料</t>
        </is>
      </c>
      <c r="H13" s="15" t="inlineStr">
        <is>
          <t>緊急</t>
        </is>
      </c>
      <c r="I13" s="15" t="inlineStr">
        <is>
          <t>M</t>
        </is>
      </c>
      <c r="J13" s="15" t="n">
        <v>2</v>
      </c>
      <c r="K13" s="15" t="inlineStr">
        <is>
          <t>已完成</t>
        </is>
      </c>
      <c r="L13" s="15" t="inlineStr">
        <is>
          <t>複驗通過</t>
        </is>
      </c>
      <c r="M13" s="15" t="inlineStr">
        <is>
          <t>2026-05-27</t>
        </is>
      </c>
      <c r="N13" s="15" t="inlineStr">
        <is>
          <t>src/SpecFetures/1810/Pages/Server/BizFunc/WEB/SpecResearch；SpecUSR</t>
        </is>
      </c>
      <c r="O13" s="15" t="inlineStr">
        <is>
          <t>已完成</t>
        </is>
      </c>
      <c r="P13" s="17" t="inlineStr">
        <is>
          <t>已依 GitHub main 複驗：1810 Footer 已將「產學暨育成中心」連到 /iic/iic-3，右側也已新增「研究亮點」連結 /research-highlights/rh4/List。多語系 nav 也有分 zh/en 結構。</t>
        </is>
      </c>
      <c r="Q13" s="17" t="inlineStr">
        <is>
          <t>2026-05-27</t>
        </is>
      </c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8" t="n">
        <v>13</v>
      </c>
      <c r="B14" s="18" t="inlineStr">
        <is>
          <t>前台問題追蹤表(ORD)</t>
        </is>
      </c>
      <c r="C14" s="18" t="inlineStr">
        <is>
          <t>143</t>
        </is>
      </c>
      <c r="D14" s="18" t="inlineStr">
        <is>
          <t>USR計畫前台顯示</t>
        </is>
      </c>
      <c r="E14" s="18" t="inlineStr">
        <is>
          <t>SpecResearch / SpecUSR</t>
        </is>
      </c>
      <c r="F14" s="18" t="inlineStr">
        <is>
          <t>欄位：本校合作系所單位變成英文了</t>
        </is>
      </c>
      <c r="G14" s="18" t="inlineStr">
        <is>
          <t>多語系</t>
        </is>
      </c>
      <c r="H14" s="18" t="inlineStr">
        <is>
          <t>緊急</t>
        </is>
      </c>
      <c r="I14" s="18" t="inlineStr">
        <is>
          <t>M</t>
        </is>
      </c>
      <c r="J14" s="18" t="n">
        <v>2</v>
      </c>
      <c r="K14" s="18" t="inlineStr">
        <is>
          <t>已完成</t>
        </is>
      </c>
      <c r="L14" s="18" t="inlineStr">
        <is>
          <t>複驗通過（程式碼層）</t>
        </is>
      </c>
      <c r="M14" s="18" t="inlineStr">
        <is>
          <t>2026-05-27</t>
        </is>
      </c>
      <c r="N14" s="18" t="inlineStr">
        <is>
          <t>src/SpecFetures/1810/Pages/Server/BizFunc/WEB/SpecResearch；SpecUSR</t>
        </is>
      </c>
      <c r="O14" s="18" t="inlineStr">
        <is>
          <t>已完成可測試</t>
        </is>
      </c>
      <c r="P14" s="17" t="inlineStr">
        <is>
          <t>已依 GitHub main 複驗：SpecUSR_Department 在 zh-TW resx 顯示為「本校執行系所/單位」，前台欄位標題由 useGetShowColItems / ModelDisplayName 取得，不再是英文欄位 key。需實機確認正式站是否已更新最新資源。</t>
        </is>
      </c>
      <c r="Q14" s="17" t="inlineStr">
        <is>
          <t>2026-05-27</t>
        </is>
      </c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5" t="n">
        <v>14</v>
      </c>
      <c r="B15" s="15" t="inlineStr">
        <is>
          <t>前台問題追蹤表(ORD)</t>
        </is>
      </c>
      <c r="C15" s="15" t="inlineStr">
        <is>
          <t>162</t>
        </is>
      </c>
      <c r="D15" s="15" t="inlineStr">
        <is>
          <t>公告</t>
        </is>
      </c>
      <c r="E15" s="15" t="inlineStr">
        <is>
          <t>Announcement</t>
        </is>
      </c>
      <c r="F15" s="15" t="inlineStr">
        <is>
          <t>首頁的公告有顯示組別、類別，內頁的公告也要有組別及類別的顯示</t>
        </is>
      </c>
      <c r="G15" s="15" t="inlineStr">
        <is>
          <t>功能/資料</t>
        </is>
      </c>
      <c r="H15" s="15" t="inlineStr">
        <is>
          <t>緊急</t>
        </is>
      </c>
      <c r="I15" s="15" t="inlineStr">
        <is>
          <t>M</t>
        </is>
      </c>
      <c r="J15" s="15" t="n">
        <v>2</v>
      </c>
      <c r="K15" s="15" t="inlineStr">
        <is>
          <t>退回，未通過</t>
        </is>
      </c>
      <c r="L15" s="15" t="inlineStr">
        <is>
          <t>複驗未通過</t>
        </is>
      </c>
      <c r="M15" s="15" t="n"/>
      <c r="N15" s="15" t="inlineStr">
        <is>
          <t>src/Features/Pages/Server/BizFunc/WEB/Announcement；src/Features/Pages/Client/BizFunc/WEB/Announcement</t>
        </is>
      </c>
      <c r="O15" s="15" t="inlineStr">
        <is>
          <t>要做到Feature上嗎?</t>
        </is>
      </c>
      <c r="P15" s="17" t="inlineStr">
        <is>
          <t>同 #163：GitHub main 中 AnnouncementForm 已取得 category/tag/date，但 ModuleContent.SubTitle 只輸出 cat 與 date，沒有輸出 tag；需求為首頁與內頁都要有組別及類別顯示，尚未完成。</t>
        </is>
      </c>
      <c r="Q15" s="17" t="inlineStr">
        <is>
          <t>2026-05-27</t>
        </is>
      </c>
      <c r="R15" s="17" t="inlineStr">
        <is>
          <t>不符合處：公告內頁未同時顯示組別與類別，僅顯示類別與日期。影響範圍：AnnouncementForm 內頁、首頁/內頁資訊一致性。對應檔案：src/Features/Pages/Client/BizFunc/WEB/Announcement/AnnouncementForm.tsx、src/Features/Pages/Client/Scaffold/SubPages/layouts/RightFrame/ModuleContent.tsx。建議：在 SubTitle 中補上 tag/組別區塊，並確認首頁 list 與內頁 form 使用同一份 category/tag 命名資料。涉及 AA/UI。</t>
        </is>
      </c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8" t="n">
        <v>15</v>
      </c>
      <c r="B16" s="18" t="inlineStr">
        <is>
          <t>前台問題追蹤表(ORD)</t>
        </is>
      </c>
      <c r="C16" s="18" t="inlineStr">
        <is>
          <t>165</t>
        </is>
      </c>
      <c r="D16" s="18" t="inlineStr">
        <is>
          <t>公告</t>
        </is>
      </c>
      <c r="E16" s="18" t="inlineStr">
        <is>
          <t>Announcement</t>
        </is>
      </c>
      <c r="F16" s="18" t="inlineStr">
        <is>
          <t>首頁的公告會出現0</t>
        </is>
      </c>
      <c r="G16" s="18" t="inlineStr">
        <is>
          <t>功能/資料</t>
        </is>
      </c>
      <c r="H16" s="18" t="inlineStr">
        <is>
          <t>緊急</t>
        </is>
      </c>
      <c r="I16" s="18" t="inlineStr">
        <is>
          <t>M</t>
        </is>
      </c>
      <c r="J16" s="18" t="n">
        <v>2</v>
      </c>
      <c r="K16" s="18" t="inlineStr">
        <is>
          <t>已完成</t>
        </is>
      </c>
      <c r="L16" s="18" t="inlineStr">
        <is>
          <t>複驗通過（程式碼層）</t>
        </is>
      </c>
      <c r="M16" s="18" t="inlineStr">
        <is>
          <t>2026-05-27</t>
        </is>
      </c>
      <c r="N16" s="18" t="inlineStr">
        <is>
          <t>src/Features/Pages/Server/BizFunc/WEB/Announcement；src/Features/Pages/Client/BizFunc/WEB/Announcement</t>
        </is>
      </c>
      <c r="O16" s="18" t="inlineStr">
        <is>
          <t>已完成</t>
        </is>
      </c>
      <c r="P16" s="17" t="inlineStr">
        <is>
          <t>已依 GitHub main 複驗：Announcement 圖文列表使用 formatCategoriesName 解析類別，該函式 raw 為空時回傳空字串，不會把空類別顯示成 0；首頁 Announcement query 也有帶 Categories/Tags 欄位。仍建議實機確認測試站資料是否已重建。</t>
        </is>
      </c>
      <c r="Q16" s="17" t="inlineStr">
        <is>
          <t>2026-05-27</t>
        </is>
      </c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5" t="n">
        <v>16</v>
      </c>
      <c r="B17" s="15" t="inlineStr">
        <is>
          <t>前台問題追蹤表(ORD)</t>
        </is>
      </c>
      <c r="C17" s="15" t="inlineStr">
        <is>
          <t>171</t>
        </is>
      </c>
      <c r="D17" s="15" t="inlineStr">
        <is>
          <t>新消息
活動公告
校內活動</t>
        </is>
      </c>
      <c r="E17" s="15" t="inlineStr">
        <is>
          <t>Announcement</t>
        </is>
      </c>
      <c r="F17" s="15" t="inlineStr">
        <is>
          <t>有公告重複勾選兩種類別，再圖文公告的版面會跑版，麻煩協助調整</t>
        </is>
      </c>
      <c r="G17" s="15" t="inlineStr">
        <is>
          <t>UI/樣式</t>
        </is>
      </c>
      <c r="H17" s="15" t="inlineStr">
        <is>
          <t>緊急</t>
        </is>
      </c>
      <c r="I17" s="15" t="inlineStr">
        <is>
          <t>M</t>
        </is>
      </c>
      <c r="J17" s="15" t="n">
        <v>2</v>
      </c>
      <c r="K17" s="15" t="inlineStr">
        <is>
          <t>退回，未通過</t>
        </is>
      </c>
      <c r="L17" s="15" t="inlineStr">
        <is>
          <t>複驗未通過</t>
        </is>
      </c>
      <c r="M17" s="15" t="n"/>
      <c r="N17" s="15" t="inlineStr">
        <is>
          <t>src/Features/Pages/Server/BizFunc/WEB/Announcement；src/Features/Pages/Client/BizFunc/WEB/Announcement</t>
        </is>
      </c>
      <c r="O17" s="15" t="inlineStr">
        <is>
          <t>已完成</t>
        </is>
      </c>
      <c r="P17" s="26" t="inlineStr">
        <is>
          <t>已依本次 ZIP 複驗：Announcement 圖文列表中，多類別仍是以 formatCategoriesName(...).join("、") 後放在同一個 span.s-tle，尚未看到針對重複勾選兩種類別時的 chip、換行、ellipsis 或版面保護處理。</t>
        </is>
      </c>
      <c r="Q17" s="26" t="inlineStr">
        <is>
          <t>2026-05-27</t>
        </is>
      </c>
      <c r="R17" s="26" t="inlineStr">
        <is>
          <t>不符合處：圖文公告重複勾選兩種類別時，程式仍以單一文字節點顯示類別，未看到多類別版面保護。影響範圍：Announcement 前台圖文公告清單、活動公告/校內活動列表卡片。對應檔案：src/Features/Pages/Client/BizFunc/WEB/Announcement/AnnouncementList.tsx、src/Features/Hooks/BizFunc/COMM/Category_Api.ts。建議修正方向：將類別改成可換行的多個 badge/chip，或在 card_cat 區加上 flex-wrap、max-width、overflow/ellipsis 規則並測兩種類別以上資料。涉及：AA/UI/CSR。</t>
        </is>
      </c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8" t="n">
        <v>17</v>
      </c>
      <c r="B18" s="18" t="inlineStr">
        <is>
          <t>前台問題追蹤表(ORD)</t>
        </is>
      </c>
      <c r="C18" s="18" t="inlineStr">
        <is>
          <t>56</t>
        </is>
      </c>
      <c r="D18" s="18" t="inlineStr">
        <is>
          <t>首頁/校務發展/近中長程計劃總表</t>
        </is>
      </c>
      <c r="E18" s="18" t="inlineStr">
        <is>
          <t>FileArchive / 檔案資源</t>
        </is>
      </c>
      <c r="F18" s="18" t="inlineStr">
        <is>
          <t>頁面夾帶的檔案無法開啟下載</t>
        </is>
      </c>
      <c r="G18" s="18" t="inlineStr">
        <is>
          <t>檔案/媒體</t>
        </is>
      </c>
      <c r="H18" s="18" t="inlineStr">
        <is>
          <t>緊急</t>
        </is>
      </c>
      <c r="I18" s="18" t="inlineStr">
        <is>
          <t>M</t>
        </is>
      </c>
      <c r="J18" s="18" t="n">
        <v>4</v>
      </c>
      <c r="K18" s="18" t="inlineStr">
        <is>
          <t>已完成</t>
        </is>
      </c>
      <c r="L18" s="18" t="inlineStr">
        <is>
          <t>複驗通過（檔案連結邏輯）</t>
        </is>
      </c>
      <c r="M18" s="18" t="inlineStr">
        <is>
          <t>2026-05-27</t>
        </is>
      </c>
      <c r="N18" s="18" t="inlineStr">
        <is>
          <t>src/Features/Pages/Server/BizFunc/WEB/FileArchive；src/Features/Pages/Client/BizFunc/WEB/FileArchive</t>
        </is>
      </c>
      <c r="O18" s="18" t="inlineStr">
        <is>
          <t>檔案link有設定另開視窗，目前點擊後僅能直接下載無法另開視窗。</t>
        </is>
      </c>
      <c r="P18" s="17" t="inlineStr">
        <is>
          <t>已依 GitHub main 複驗：FileArchiveList 會依語系取 FileArchiveDetail，補「下載」與「下載次數」欄；實體檔案 PDF 走 preview，其餘走 public download，連結含 target _blank、rel noopener、title/aria-label。需實機確認資料是否有對應 FileSrcId。</t>
        </is>
      </c>
      <c r="Q18" s="17" t="inlineStr">
        <is>
          <t>2026-05-27</t>
        </is>
      </c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5" t="n">
        <v>18</v>
      </c>
      <c r="B19" s="15" t="inlineStr">
        <is>
          <t>前台問題追蹤表(ORD)</t>
        </is>
      </c>
      <c r="C19" s="15" t="inlineStr">
        <is>
          <t>138</t>
        </is>
      </c>
      <c r="D19" s="15" t="inlineStr">
        <is>
          <t>最新消息/總覽</t>
        </is>
      </c>
      <c r="E19" s="15" t="inlineStr">
        <is>
          <t>Announcement</t>
        </is>
      </c>
      <c r="F19" s="15" t="inlineStr">
        <is>
          <t>1/ 公告內頁右下角缺少【回上一頁】按鍵。
2/ 點選任一公告進入內頁會直接到底部或中間，正確要為標題位置。
3/ 第二頁以後點擊【返回上一層】會直接回到第一頁，正確要為當下頁數。
4/ 公告網址未顯示標題。 
5/ 公告附件下載後檔名未出現正確title</t>
        </is>
      </c>
      <c r="G19" s="15" t="inlineStr">
        <is>
          <t>檔案/媒體</t>
        </is>
      </c>
      <c r="H19" s="15" t="inlineStr">
        <is>
          <t>緊急</t>
        </is>
      </c>
      <c r="I19" s="15" t="inlineStr">
        <is>
          <t>M</t>
        </is>
      </c>
      <c r="J19" s="15" t="n">
        <v>4</v>
      </c>
      <c r="K19" s="15" t="inlineStr">
        <is>
          <t>退回，未通過</t>
        </is>
      </c>
      <c r="L19" s="15" t="inlineStr">
        <is>
          <t>複驗未通過</t>
        </is>
      </c>
      <c r="M19" s="15" t="n"/>
      <c r="N19" s="15" t="inlineStr">
        <is>
          <t>src/Features/Pages/Server/BizFunc/WEB/Announcement；src/Features/Pages/Client/BizFunc/WEB/Announcement</t>
        </is>
      </c>
      <c r="O19" s="15" t="inlineStr">
        <is>
          <t>2＆3未更改</t>
        </is>
      </c>
      <c r="P19" s="17" t="inlineStr">
        <is>
          <t>已依 GitHub main 複驗：返回上一層與附件檔名已有部分處理，但公告列表連結仍以 InternalId 組路徑，未帶入標題 slug；本項原需求有 5 點，尚無法視為全部完成。</t>
        </is>
      </c>
      <c r="Q19" s="17" t="inlineStr">
        <is>
          <t>2026-05-27</t>
        </is>
      </c>
      <c r="R19" s="17" t="inlineStr">
        <is>
          <t>不符合處：公告網址未顯示標題，且原驗收備註已標示 2、3 未更改；目前列表導頁仍使用 `${dirUrl}/${InternalId}`。影響範圍：Announcement 清單/內頁導頁、SEO/AA 連結語意、返回上一層頁碼體驗。對應檔案：src/Features/Pages/Client/BizFunc/WEB/Announcement/AnnouncementList.tsx、AnnouncementForm.tsx、BreadCrumb_Comp.tsx。建議：導頁路由補標題 slug 或 breadcrumb dynamic title；返回頁碼改由 URL query/history state 保留，不只依賴記憶體頁碼。涉及 AA/UI/SSR 風險。</t>
        </is>
      </c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8" t="n">
        <v>19</v>
      </c>
      <c r="B20" s="18" t="inlineStr">
        <is>
          <t>前台問題追蹤表(ORD)</t>
        </is>
      </c>
      <c r="C20" s="18" t="inlineStr">
        <is>
          <t>82</t>
        </is>
      </c>
      <c r="D20" s="18" t="inlineStr">
        <is>
          <t>首頁</t>
        </is>
      </c>
      <c r="E20" s="18" t="inlineStr">
        <is>
          <t>SSR / Client_DataQueryTemplate</t>
        </is>
      </c>
      <c r="F20" s="18" t="inlineStr">
        <is>
          <t>首頁有時跳回，此區塊會沒有東西顯示出來，重整後就好了</t>
        </is>
      </c>
      <c r="G20" s="18" t="inlineStr">
        <is>
          <t>SSR/渲染</t>
        </is>
      </c>
      <c r="H20" s="18" t="inlineStr">
        <is>
          <t>緊急</t>
        </is>
      </c>
      <c r="I20" s="18" t="inlineStr">
        <is>
          <t>M</t>
        </is>
      </c>
      <c r="J20" s="18" t="n">
        <v>4</v>
      </c>
      <c r="K20" s="18" t="inlineStr">
        <is>
          <t>部分複驗，待實機確認</t>
        </is>
      </c>
      <c r="L20" s="18" t="inlineStr">
        <is>
          <t>部分複驗，待實機確認</t>
        </is>
      </c>
      <c r="M20" s="18" t="n"/>
      <c r="N20" s="18" t="inlineStr">
        <is>
          <t>src/SSR；src/Features/Pages/Client/Scaffold/DataQueryTemplate</t>
        </is>
      </c>
      <c r="O20" s="18" t="inlineStr">
        <is>
          <t>1. CSR問題，待調整成SSR後解決
2. react useEffect...邏輯處理</t>
        </is>
      </c>
      <c r="P20" s="26" t="inlineStr">
        <is>
          <t>第十九批依本次完整 ZIP 重新複驗：src/SSR/Entry-Client.tsx 已以 hasHydratableSsrMarkup 與 hydrationData 判斷 hydrate / CSR fallback，避免無 SSR 資料時硬 hydrate 造成雙 DOM；Client_DataQueryTemplate_Hook.ts 也統一 loaderData、queryParam、SearchBar 與 refetch 流程。惟「首頁偶發空白、重整後正常」屬首載/切頁/弱網路/資料時序問題，仍需測試站或正式站連續操作確認。涉及 SSR、CSR、UI、Network、Console、Freego 回歸；目前不建議直接改為已完成。</t>
        </is>
      </c>
      <c r="Q20" s="26" t="inlineStr">
        <is>
          <t>2026-05-27</t>
        </is>
      </c>
      <c r="R20" s="26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5" t="n">
        <v>20</v>
      </c>
      <c r="B21" s="15" t="inlineStr">
        <is>
          <t>前台問題追蹤表(ORD)</t>
        </is>
      </c>
      <c r="C21" s="15" t="inlineStr">
        <is>
          <t>160</t>
        </is>
      </c>
      <c r="D21" s="15" t="inlineStr">
        <is>
          <t>USR計畫</t>
        </is>
      </c>
      <c r="E21" s="15" t="inlineStr">
        <is>
          <t>SpecResearch / SpecUSR</t>
        </is>
      </c>
      <c r="F21" s="15" t="inlineStr">
        <is>
          <t>增加欄位填關鍵字(新增欄位)</t>
        </is>
      </c>
      <c r="G21" s="15" t="inlineStr">
        <is>
          <t>功能/資料</t>
        </is>
      </c>
      <c r="H21" s="15" t="inlineStr">
        <is>
          <t>高</t>
        </is>
      </c>
      <c r="I21" s="15" t="inlineStr">
        <is>
          <t>S</t>
        </is>
      </c>
      <c r="J21" s="15" t="n">
        <v>1</v>
      </c>
      <c r="K21" s="15" t="inlineStr">
        <is>
          <t>待規劃</t>
        </is>
      </c>
      <c r="L21" s="15" t="inlineStr">
        <is>
          <t>未驗收</t>
        </is>
      </c>
      <c r="M21" s="15" t="n"/>
      <c r="N21" s="15" t="inlineStr">
        <is>
          <t>src/SpecFetures/1810/Pages/Server/BizFunc/WEB/SpecResearch；SpecUSR</t>
        </is>
      </c>
      <c r="O21" s="15" t="inlineStr">
        <is>
          <t>文字雲使用</t>
        </is>
      </c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8" t="n">
        <v>21</v>
      </c>
      <c r="B22" s="18" t="inlineStr">
        <is>
          <t>前台問題追蹤表(ORD)</t>
        </is>
      </c>
      <c r="C22" s="18" t="inlineStr">
        <is>
          <t>156</t>
        </is>
      </c>
      <c r="D22" s="18" t="inlineStr">
        <is>
          <t>研究計畫</t>
        </is>
      </c>
      <c r="E22" s="18" t="inlineStr">
        <is>
          <t>SpecResearch / SpecUSR</t>
        </is>
      </c>
      <c r="F22" s="18" t="inlineStr">
        <is>
          <t>窗口問能否想改成15則在一頁</t>
        </is>
      </c>
      <c r="G22" s="18" t="inlineStr">
        <is>
          <t>功能/資料</t>
        </is>
      </c>
      <c r="H22" s="18" t="inlineStr">
        <is>
          <t>高</t>
        </is>
      </c>
      <c r="I22" s="18" t="inlineStr">
        <is>
          <t>S</t>
        </is>
      </c>
      <c r="J22" s="18" t="n">
        <v>1</v>
      </c>
      <c r="K22" s="18" t="inlineStr">
        <is>
          <t>已完成</t>
        </is>
      </c>
      <c r="L22" s="18" t="inlineStr">
        <is>
          <t>複驗通過</t>
        </is>
      </c>
      <c r="M22" s="18" t="inlineStr">
        <is>
          <t>2026-05-27</t>
        </is>
      </c>
      <c r="N22" s="18" t="inlineStr">
        <is>
          <t>src/SpecFetures/1810/Pages/Server/BizFunc/WEB/SpecResearch；SpecUSR</t>
        </is>
      </c>
      <c r="O22" s="18" t="inlineStr">
        <is>
          <t>已完成可測試</t>
        </is>
      </c>
      <c r="P22" s="17" t="inlineStr">
        <is>
          <t>已依 GitHub main 複驗：SpecResearchList_Loader 的 QueryListParam PageSize 為 15，並搭配 QueryCount / usePagedQueryList 與 Grid paginator，符合「研究計畫一頁 15 則」需求。</t>
        </is>
      </c>
      <c r="Q22" s="17" t="inlineStr">
        <is>
          <t>2026-05-27</t>
        </is>
      </c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5" t="n">
        <v>22</v>
      </c>
      <c r="B23" s="15" t="inlineStr">
        <is>
          <t>前台問題追蹤表(ORD)</t>
        </is>
      </c>
      <c r="C23" s="15" t="inlineStr">
        <is>
          <t>134</t>
        </is>
      </c>
      <c r="D23" s="15" t="inlineStr">
        <is>
          <t>USR計畫</t>
        </is>
      </c>
      <c r="E23" s="15" t="inlineStr">
        <is>
          <t>SpecResearch / SpecUSR</t>
        </is>
      </c>
      <c r="F23" s="15" t="inlineStr">
        <is>
          <t>USR計畫的大標題字體變大，顏色也調整一下</t>
        </is>
      </c>
      <c r="G23" s="15" t="inlineStr">
        <is>
          <t>功能/資料</t>
        </is>
      </c>
      <c r="H23" s="15" t="inlineStr">
        <is>
          <t>高</t>
        </is>
      </c>
      <c r="I23" s="15" t="inlineStr">
        <is>
          <t>M</t>
        </is>
      </c>
      <c r="J23" s="15" t="n">
        <v>1.5</v>
      </c>
      <c r="K23" s="15" t="inlineStr">
        <is>
          <t>已完成</t>
        </is>
      </c>
      <c r="L23" s="15" t="inlineStr">
        <is>
          <t>複驗通過</t>
        </is>
      </c>
      <c r="M23" s="15" t="inlineStr">
        <is>
          <t>2026-05-27</t>
        </is>
      </c>
      <c r="N23" s="15" t="inlineStr">
        <is>
          <t>src/SpecFetures/1810/Pages/Server/BizFunc/WEB/SpecResearch；SpecUSR</t>
        </is>
      </c>
      <c r="O23" s="15" t="inlineStr">
        <is>
          <t>已完成可測試</t>
        </is>
      </c>
      <c r="P23" s="26" t="inlineStr">
        <is>
          <t>已依本次 ZIP 複驗：1810 前台樣式已將 articles_itemBoxs_2 的 card_title 設為 font-weight:700、font-size:125%，hover/focus/active 使用 var(--Customize_color)，符合 USR 計畫大標題放大、加粗與滑過顏色調整。對應檔案：src/SpecFetures/1810/Assets/Client/Content/Front-subpage-content.css。</t>
        </is>
      </c>
      <c r="Q23" s="26" t="inlineStr">
        <is>
          <t>2026-05-27</t>
        </is>
      </c>
      <c r="R23" s="26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8" t="n">
        <v>23</v>
      </c>
      <c r="B24" s="18" t="inlineStr">
        <is>
          <t>前台問題追蹤表(ORD)</t>
        </is>
      </c>
      <c r="C24" s="18" t="inlineStr">
        <is>
          <t>145</t>
        </is>
      </c>
      <c r="D24" s="18" t="inlineStr">
        <is>
          <t>正式站USR計畫畫面排版一致</t>
        </is>
      </c>
      <c r="E24" s="18" t="inlineStr">
        <is>
          <t>SpecResearch / SpecUSR</t>
        </is>
      </c>
      <c r="F24" s="18" t="inlineStr">
        <is>
          <t>研究亮點、地方創生．藝術共榮計畫、USR計畫
標題字體大一點加粗、滑鼠移過去顏色同網站一樣的綠色</t>
        </is>
      </c>
      <c r="G24" s="18" t="inlineStr">
        <is>
          <t>UI/樣式</t>
        </is>
      </c>
      <c r="H24" s="18" t="inlineStr">
        <is>
          <t>高</t>
        </is>
      </c>
      <c r="I24" s="18" t="inlineStr">
        <is>
          <t>M</t>
        </is>
      </c>
      <c r="J24" s="18" t="n">
        <v>1.5</v>
      </c>
      <c r="K24" s="18" t="inlineStr">
        <is>
          <t>部分複驗，待實機確認</t>
        </is>
      </c>
      <c r="L24" s="18" t="inlineStr">
        <is>
          <t>部分複驗，待實機確認</t>
        </is>
      </c>
      <c r="M24" s="18" t="n"/>
      <c r="N24" s="18" t="inlineStr">
        <is>
          <t>src/SpecFetures/1810/Pages/Server/BizFunc/WEB/SpecResearch；SpecUSR</t>
        </is>
      </c>
      <c r="O24" s="18" t="inlineStr">
        <is>
          <t>已完成可測試</t>
        </is>
      </c>
      <c r="P24" s="26" t="inlineStr">
        <is>
          <t>第十九批依本次完整 ZIP 重新複驗：1810 Front-subpage-content.css 已可看到 articles_itemBoxs_2 的標題 font-size 125%、font-weight 700、hover/focus/active 使用 var(--Customize_color)；SpecUSR 清單也使用 card_title/card_content_2 結構。惟此筆要求正式站「研究亮點、地方創生．藝術共榮計畫、USR計畫」排版一致，需用正式站資料比對實際欄位、標題長度、卡片高度與 hover 顏色。涉及 UI、AA focus/hover、CSR 顯示；ZIP 只能確認樣式存在，仍需實機。</t>
        </is>
      </c>
      <c r="Q24" s="26" t="inlineStr">
        <is>
          <t>2026-05-27</t>
        </is>
      </c>
      <c r="R24" s="26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5" t="n">
        <v>24</v>
      </c>
      <c r="B25" s="15" t="inlineStr">
        <is>
          <t>前台問題追蹤表(ORD)</t>
        </is>
      </c>
      <c r="C25" s="15" t="inlineStr">
        <is>
          <t>120</t>
        </is>
      </c>
      <c r="D25" s="15" t="inlineStr">
        <is>
          <t>類別、標籤</t>
        </is>
      </c>
      <c r="E25" s="15" t="inlineStr">
        <is>
          <t>SpecResearch / SpecUSR</t>
        </is>
      </c>
      <c r="F25" s="15" t="inlineStr">
        <is>
          <t>1810測試站功能裡的類別和標籤有出現智庫中心、臺灣文化政策智庫中心都刪除</t>
        </is>
      </c>
      <c r="G25" s="15" t="inlineStr">
        <is>
          <t>功能/資料</t>
        </is>
      </c>
      <c r="H25" s="15" t="inlineStr">
        <is>
          <t>高</t>
        </is>
      </c>
      <c r="I25" s="15" t="inlineStr">
        <is>
          <t>M</t>
        </is>
      </c>
      <c r="J25" s="15" t="n">
        <v>2</v>
      </c>
      <c r="K25" s="15" t="inlineStr">
        <is>
          <t>退回，未通過</t>
        </is>
      </c>
      <c r="L25" s="15" t="inlineStr">
        <is>
          <t>複驗未通過</t>
        </is>
      </c>
      <c r="M25" s="15" t="n"/>
      <c r="N25" s="15" t="inlineStr">
        <is>
          <t>src/SpecFetures/1810/Pages/Server/BizFunc/WEB/SpecResearch；SpecUSR</t>
        </is>
      </c>
      <c r="O25" s="15" t="inlineStr">
        <is>
          <t>後台USR計畫：標籤未刪除</t>
        </is>
      </c>
      <c r="P25" s="17" t="inlineStr">
        <is>
          <t>本項為資料清理需求，GitHub main 程式碼無法證明正式站/測試站資料已刪除；且原驗收備註仍標示「後台USR計畫：標籤未刪除」，不可視為已完成。</t>
        </is>
      </c>
      <c r="Q25" s="17" t="inlineStr">
        <is>
          <t>2026-05-27</t>
        </is>
      </c>
      <c r="R25" s="17" t="inlineStr">
        <is>
          <t>不符合處：1810 測試站 SpecResearch/SpecUSR 類別與標籤資料清理未能從 GitHub 證明完成，且收斂表既有備註指出後台 USR 標籤未刪除。影響範圍：後台類別/標籤選項、前台篩選或標籤顯示，可能仍出現智庫中心/臺灣文化政策智庫中心。對應範圍：SpecCategory、SpecTag、SpecUSR 後台資料。建議：以正式 Google Sheet/DB 盤點類別與標籤 ID，刪除或停用後重新複驗；若是資料修正，需補 SQL 或操作紀錄。涉及資料/UI。</t>
        </is>
      </c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8" t="n">
        <v>25</v>
      </c>
      <c r="B26" s="18" t="inlineStr">
        <is>
          <t>前台問題追蹤表(ORD)</t>
        </is>
      </c>
      <c r="C26" s="18" t="inlineStr">
        <is>
          <t>130</t>
        </is>
      </c>
      <c r="D26" s="18" t="inlineStr">
        <is>
          <t>首頁的影片排序</t>
        </is>
      </c>
      <c r="E26" s="18" t="inlineStr">
        <is>
          <t>WebResource</t>
        </is>
      </c>
      <c r="F26" s="18" t="inlineStr">
        <is>
          <t>影片的排序再調整一下，按照測試站的來放，以下面這兩則為現在首頁上呈現。</t>
        </is>
      </c>
      <c r="G26" s="18" t="inlineStr">
        <is>
          <t>排序/狀態</t>
        </is>
      </c>
      <c r="H26" s="18" t="inlineStr">
        <is>
          <t>高</t>
        </is>
      </c>
      <c r="I26" s="18" t="inlineStr">
        <is>
          <t>M</t>
        </is>
      </c>
      <c r="J26" s="18" t="n">
        <v>2</v>
      </c>
      <c r="K26" s="18" t="inlineStr">
        <is>
          <t>退回，未通過</t>
        </is>
      </c>
      <c r="L26" s="18" t="inlineStr">
        <is>
          <t>複驗未通過</t>
        </is>
      </c>
      <c r="M26" s="18" t="n"/>
      <c r="N26" s="18" t="inlineStr">
        <is>
          <t>src/Features/Pages/Server/BizFunc/WEB/WebResource；src/Features/Pages/Client/BizFunc/WEB/WebResource</t>
        </is>
      </c>
      <c r="O26" s="18" t="inlineStr">
        <is>
          <t>20251002
1/ 內頁顯示的順序，是否要與首頁一樣？
2/ 顯示順序的條件依據是否也統一規範？
請依據：狀態（置頂）＞排序編號（小到大1.2.3.... ）＞新增建立時間（新到舊），編輯修改時間不採用
目前沒有任何規範準則（如下截圖）</t>
        </is>
      </c>
      <c r="P26" s="17" t="inlineStr">
        <is>
          <t>已依 GitHub main 複驗：WebResourceList_Loader 目前 RankGroups 僅處理置頂，OrderBy 仍只有 CreateTime desc，未看到依測試站要求的排序欄位或多段排序鏈。</t>
        </is>
      </c>
      <c r="Q26" s="17" t="inlineStr">
        <is>
          <t>2026-05-27</t>
        </is>
      </c>
      <c r="R26" s="17" t="inlineStr">
        <is>
          <t>不符合處：首頁/內頁影音排序仍以 CreateTime 為主，未符合「依測試站排序」或先前統一的狀態/排序/時間規則。影響範圍：首頁活動影音、WebResource 影音列表顯示順序。對應檔案：src/Features/Pages/Client/BizFunc/WEB/WebResource/WebResourceList_Loader.ts。建議：補 Sort 欄位並設定 OrderBy：置頂/狀態後依 Sort desc、CreateTime desc；若首頁另有 loader，也需同步。涉及 UI/資料排序/SSR。</t>
        </is>
      </c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5" t="n">
        <v>26</v>
      </c>
      <c r="B27" s="15" t="inlineStr">
        <is>
          <t>前台問題追蹤表(ORD)</t>
        </is>
      </c>
      <c r="C27" s="15" t="inlineStr">
        <is>
          <t>8</t>
        </is>
      </c>
      <c r="D27" s="15" t="inlineStr">
        <is>
          <t>共用 / 待判斷</t>
        </is>
      </c>
      <c r="E27" s="15" t="inlineStr">
        <is>
          <t>共用 / 待判斷</t>
        </is>
      </c>
      <c r="F27" s="15" t="inlineStr">
        <is>
          <t>不能切和英文版</t>
        </is>
      </c>
      <c r="G27" s="15" t="inlineStr">
        <is>
          <t>多語系</t>
        </is>
      </c>
      <c r="H27" s="15" t="inlineStr">
        <is>
          <t>高</t>
        </is>
      </c>
      <c r="I27" s="15" t="inlineStr">
        <is>
          <t>M</t>
        </is>
      </c>
      <c r="J27" s="15" t="n">
        <v>2</v>
      </c>
      <c r="K27" s="15" t="inlineStr">
        <is>
          <t>部分複驗，待資料/實機確認</t>
        </is>
      </c>
      <c r="L27" s="15" t="inlineStr">
        <is>
          <t>部分複驗，待資料/實機確認</t>
        </is>
      </c>
      <c r="M27" s="15" t="n"/>
      <c r="N27" s="15" t="inlineStr">
        <is>
          <t>需依實際路由與功能檔案確認</t>
        </is>
      </c>
      <c r="O27" s="15" t="n"/>
      <c r="P27" s="17" t="inlineStr">
        <is>
          <t>已依 GitHub main 複驗：SpecLangSwitchBtn / Site-Routing 程式層已可解析 /en 或 /{siteIndex}/en，並依 site.treeByLang / indexInfoByLang 做語系切換；但是否「不能切英文版」仍需看正式站英文 SiteMenu/PageManagement 資料是否存在與實機路由。</t>
        </is>
      </c>
      <c r="Q27" s="17" t="inlineStr">
        <is>
          <t>2026-05-27</t>
        </is>
      </c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8" t="n">
        <v>27</v>
      </c>
      <c r="B28" s="18" t="inlineStr">
        <is>
          <t>前台問題追蹤表(ORD)</t>
        </is>
      </c>
      <c r="C28" s="18" t="inlineStr">
        <is>
          <t>19</t>
        </is>
      </c>
      <c r="D28" s="18" t="inlineStr">
        <is>
          <t>網站導覽</t>
        </is>
      </c>
      <c r="E28" s="18" t="inlineStr">
        <is>
          <t>PageManagement / TinyMCE</t>
        </is>
      </c>
      <c r="F28" s="18" t="inlineStr">
        <is>
          <t>1. 網站導覽頁要有，不能沒有頁面連結，有MEAU架構就要能自動產生對應 [ 網站地圖 ]</t>
        </is>
      </c>
      <c r="G28" s="18" t="inlineStr">
        <is>
          <t>功能/資料</t>
        </is>
      </c>
      <c r="H28" s="18" t="inlineStr">
        <is>
          <t>高</t>
        </is>
      </c>
      <c r="I28" s="18" t="inlineStr">
        <is>
          <t>M</t>
        </is>
      </c>
      <c r="J28" s="18" t="n">
        <v>2</v>
      </c>
      <c r="K28" s="18" t="inlineStr">
        <is>
          <t>已完成</t>
        </is>
      </c>
      <c r="L28" s="18" t="inlineStr">
        <is>
          <t>複驗通過</t>
        </is>
      </c>
      <c r="M28" s="18" t="inlineStr">
        <is>
          <t>2026-05-27</t>
        </is>
      </c>
      <c r="N28" s="18" t="inlineStr">
        <is>
          <t>src/Features/Pages/Server/BizFunc/WEB/PageManagement；src/SysCore/Components/TinyMCE</t>
        </is>
      </c>
      <c r="O28" s="18" t="n"/>
      <c r="P28" s="17" t="inlineStr">
        <is>
          <t>已依 GitHub main 複驗：Sitemap.tsx 會從 props.site.treeByLang[lang] 取網站樹，normalize 後自動渲染根節點、群組與 leaf link；Site-Routing normalizeSite 也會 ensureVirtualRoot 補 SitemapNode，符合「有 MENU 架構就自動產生網站導覽」的程式層需求。</t>
        </is>
      </c>
      <c r="Q28" s="17" t="inlineStr">
        <is>
          <t>2026-05-27</t>
        </is>
      </c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5" t="n">
        <v>28</v>
      </c>
      <c r="B29" s="15" t="inlineStr">
        <is>
          <t>前台問題追蹤表(ORD)</t>
        </is>
      </c>
      <c r="C29" s="15" t="inlineStr">
        <is>
          <t>128</t>
        </is>
      </c>
      <c r="D29" s="15" t="inlineStr">
        <is>
          <t>Menu連結外往</t>
        </is>
      </c>
      <c r="E29" s="15" t="inlineStr">
        <is>
          <t>SiteMenu / Header</t>
        </is>
      </c>
      <c r="F29" s="15" t="inlineStr">
        <is>
          <t>跳外網時的等待畫面關閉</t>
        </is>
      </c>
      <c r="G29" s="15" t="inlineStr">
        <is>
          <t>功能/資料</t>
        </is>
      </c>
      <c r="H29" s="15" t="inlineStr">
        <is>
          <t>高</t>
        </is>
      </c>
      <c r="I29" s="15" t="inlineStr">
        <is>
          <t>M</t>
        </is>
      </c>
      <c r="J29" s="15" t="n">
        <v>2</v>
      </c>
      <c r="K29" s="15" t="inlineStr">
        <is>
          <t>已完成</t>
        </is>
      </c>
      <c r="L29" s="15" t="inlineStr">
        <is>
          <t>複驗通過（Menu 連結）</t>
        </is>
      </c>
      <c r="M29" s="15" t="inlineStr">
        <is>
          <t>2026-05-27</t>
        </is>
      </c>
      <c r="N29" s="15" t="inlineStr">
        <is>
          <t>src/Features/Pages/Server/BizFunc/WEB/SiteMenu；src/SpecFetures/*/Pages/Client/Scaffold/MainFrame/Header.tsx</t>
        </is>
      </c>
      <c r="O29" s="15" t="n"/>
      <c r="P29" s="17" t="inlineStr">
        <is>
          <t>已依 GitHub main 複驗：buildMenuItems 會對 redirect-external 直接 resolve redirectTo，並以 LangLink 產生外部網址；http(s) 外連預設 target=_blank，因此一般 Menu 點擊不會再先進入內站等待頁。Site-Routing 仍保留直接 path fallback，但不影響正常 Menu 點擊流程。</t>
        </is>
      </c>
      <c r="Q29" s="17" t="inlineStr">
        <is>
          <t>2026-05-27</t>
        </is>
      </c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8" t="n">
        <v>29</v>
      </c>
      <c r="B30" s="18" t="inlineStr">
        <is>
          <t>前台問題追蹤表(ORD)</t>
        </is>
      </c>
      <c r="C30" s="18" t="inlineStr">
        <is>
          <t>129</t>
        </is>
      </c>
      <c r="D30" s="18" t="inlineStr">
        <is>
          <t>前台更新</t>
        </is>
      </c>
      <c r="E30" s="18" t="inlineStr">
        <is>
          <t>共用 / 待判斷</t>
        </is>
      </c>
      <c r="F30" s="18" t="inlineStr">
        <is>
          <t>前台更新後常常卡在此畫面，要再重整才會正常</t>
        </is>
      </c>
      <c r="G30" s="18" t="inlineStr">
        <is>
          <t>SSR/渲染</t>
        </is>
      </c>
      <c r="H30" s="18" t="inlineStr">
        <is>
          <t>高</t>
        </is>
      </c>
      <c r="I30" s="18" t="inlineStr">
        <is>
          <t>M</t>
        </is>
      </c>
      <c r="J30" s="18" t="n">
        <v>2</v>
      </c>
      <c r="K30" s="18" t="inlineStr">
        <is>
          <t>退回，未通過</t>
        </is>
      </c>
      <c r="L30" s="18" t="inlineStr">
        <is>
          <t>複驗未通過</t>
        </is>
      </c>
      <c r="M30" s="18" t="n"/>
      <c r="N30" s="18" t="inlineStr">
        <is>
          <t>需依實際路由與功能檔案確認</t>
        </is>
      </c>
      <c r="O30" s="18" t="n"/>
      <c r="P30" s="17" t="inlineStr">
        <is>
          <t>已依 GitHub main 複驗：共用 LoadingErrorHandler 仍會在 loading 超過 200ms/500ms 後顯示輕量/完整載入畫面，若資料載入或 hydration 卡住，前台仍可能停在載入畫面，不能視為已完成。</t>
        </is>
      </c>
      <c r="Q30" s="17" t="inlineStr">
        <is>
          <t>2026-05-27</t>
        </is>
      </c>
      <c r="R30" s="17" t="inlineStr">
        <is>
          <t>不符合處：前台更新後仍可能卡在 loading 畫面；LoadingErrorHandler 仍會回傳「輕量載入中... / 資料載入中...」。影響範圍：所有套用 LoadingErrorHandler 的前台模組。對應檔案：src/SysCore/Components/LoadingErrorHandler.tsx。建議：保留 SSR 舊內容，CSR 背景更新；載入失敗需 timeout 與重試/錯誤處理，不可長時間替代主內容。涉及 SSR/CSR/UI/AA。</t>
        </is>
      </c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5" t="n">
        <v>30</v>
      </c>
      <c r="B31" s="15" t="inlineStr">
        <is>
          <t>前台問題追蹤表(ORD)</t>
        </is>
      </c>
      <c r="C31" s="15" t="inlineStr">
        <is>
          <t>168</t>
        </is>
      </c>
      <c r="D31" s="15" t="inlineStr">
        <is>
          <t>頁尾</t>
        </is>
      </c>
      <c r="E31" s="15" t="inlineStr">
        <is>
          <t>SiteViewCount</t>
        </is>
      </c>
      <c r="F31" s="15" t="inlineStr">
        <is>
          <t>瀏覽人數未統計</t>
        </is>
      </c>
      <c r="G31" s="15" t="inlineStr">
        <is>
          <t>功能/資料</t>
        </is>
      </c>
      <c r="H31" s="15" t="inlineStr">
        <is>
          <t>高</t>
        </is>
      </c>
      <c r="I31" s="15" t="inlineStr">
        <is>
          <t>M</t>
        </is>
      </c>
      <c r="J31" s="15" t="n">
        <v>2</v>
      </c>
      <c r="K31" s="15" t="inlineStr">
        <is>
          <t>退回，未通過</t>
        </is>
      </c>
      <c r="L31" s="15" t="inlineStr">
        <is>
          <t>複驗未通過</t>
        </is>
      </c>
      <c r="M31" s="15" t="n"/>
      <c r="N31" s="15" t="inlineStr">
        <is>
          <t>Features/WEB/SiteViewCount</t>
        </is>
      </c>
      <c r="O31" s="15" t="n"/>
      <c r="P31" s="17" t="inlineStr">
        <is>
          <t>已依 GitHub main 複驗：1810 Footer 目前 visitors 文案仍是固定字串「瀏覽人數 : 0000000037 / Visitors : 0000000037」，未看到接 SiteViewCount 或 API 統計資料。</t>
        </is>
      </c>
      <c r="Q31" s="17" t="inlineStr">
        <is>
          <t>2026-05-27</t>
        </is>
      </c>
      <c r="R31" s="17" t="inlineStr">
        <is>
          <t>不符合處：頁尾瀏覽人數仍為硬編碼，沒有使用 SiteViewCount 統計資料。影響範圍：前台 footer 顯示、瀏覽統計可信度、正式站資料正確性。對應檔案：src/SpecFetures/1810/Pages/Client/Scaffold/MainFrame/Footer.tsx。建議：改由 SiteViewCount hook/API 或後端統計欄位提供總瀏覽數；SSR 首屏應提供初始值，CSR 可背景更新。涉及 API/SSR/UI。</t>
        </is>
      </c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8" t="n">
        <v>31</v>
      </c>
      <c r="B32" s="18" t="inlineStr">
        <is>
          <t>前台問題追蹤表(ORD)</t>
        </is>
      </c>
      <c r="C32" s="18" t="inlineStr">
        <is>
          <t>170</t>
        </is>
      </c>
      <c r="D32" s="18" t="inlineStr">
        <is>
          <t>最新消息</t>
        </is>
      </c>
      <c r="E32" s="18" t="inlineStr">
        <is>
          <t>Announcement</t>
        </is>
      </c>
      <c r="F32" s="18" t="inlineStr">
        <is>
          <t>瀏覽次數未統計</t>
        </is>
      </c>
      <c r="G32" s="18" t="inlineStr">
        <is>
          <t>功能/資料</t>
        </is>
      </c>
      <c r="H32" s="18" t="inlineStr">
        <is>
          <t>高</t>
        </is>
      </c>
      <c r="I32" s="18" t="inlineStr">
        <is>
          <t>M</t>
        </is>
      </c>
      <c r="J32" s="18" t="n">
        <v>2</v>
      </c>
      <c r="K32" s="18" t="inlineStr">
        <is>
          <t>已完成</t>
        </is>
      </c>
      <c r="L32" s="18" t="inlineStr">
        <is>
          <t>複驗通過</t>
        </is>
      </c>
      <c r="M32" s="18" t="inlineStr">
        <is>
          <t>2026-05-27</t>
        </is>
      </c>
      <c r="N32" s="18" t="inlineStr">
        <is>
          <t>src/Features/Pages/Server/BizFunc/WEB/Announcement；src/Features/Pages/Client/BizFunc/WEB/Announcement</t>
        </is>
      </c>
      <c r="O32" s="18" t="n"/>
      <c r="P32" s="17" t="inlineStr">
        <is>
          <t>已依 GitHub main 複驗：AnnouncementList_Loader 會依清單 internalIds 建 SiteViewCount 查詢條件，SSR loader 首屏同步撈 viewCount，CSR 也會依 grid.list 重建 viewCountMap，列表欄位可顯示瀏覽數；AnnouncementForm 也有 form mode viewCountConfig 觸發明細計數。</t>
        </is>
      </c>
      <c r="Q32" s="17" t="inlineStr">
        <is>
          <t>2026-05-27</t>
        </is>
      </c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5" t="n">
        <v>32</v>
      </c>
      <c r="B33" s="15" t="inlineStr">
        <is>
          <t>前台問題追蹤表(ORD)</t>
        </is>
      </c>
      <c r="C33" s="15" t="inlineStr">
        <is>
          <t>179</t>
        </is>
      </c>
      <c r="D33" s="15" t="inlineStr">
        <is>
          <t>ORD / WCMS</t>
        </is>
      </c>
      <c r="E33" s="15" t="inlineStr">
        <is>
          <t>Announcement</t>
        </is>
      </c>
      <c r="F33" s="15" t="inlineStr">
        <is>
          <t>前台公告列表有設定【置頂】狀態的都沒有置頂，條件判定請再確認一下～</t>
        </is>
      </c>
      <c r="G33" s="15" t="inlineStr">
        <is>
          <t>排序/狀態</t>
        </is>
      </c>
      <c r="H33" s="15" t="inlineStr">
        <is>
          <t>高</t>
        </is>
      </c>
      <c r="I33" s="15" t="inlineStr">
        <is>
          <t>M</t>
        </is>
      </c>
      <c r="J33" s="15" t="n">
        <v>2</v>
      </c>
      <c r="K33" s="15" t="inlineStr">
        <is>
          <t>已完成</t>
        </is>
      </c>
      <c r="L33" s="15" t="inlineStr">
        <is>
          <t>複驗通過</t>
        </is>
      </c>
      <c r="M33" s="15" t="inlineStr">
        <is>
          <t>2026-05-27</t>
        </is>
      </c>
      <c r="N33" s="15" t="inlineStr">
        <is>
          <t>src/Features/Pages/Server/BizFunc/WEB/Announcement；src/Features/Pages/Client/BizFunc/WEB/Announcement</t>
        </is>
      </c>
      <c r="O33" s="15" t="inlineStr">
        <is>
          <t>後台問題追蹤表#150</t>
        </is>
      </c>
      <c r="P33" s="17" t="inlineStr">
        <is>
          <t>已依 GitHub main 複驗：AnnouncementList_Loader 的 QueryListParam 已使用 RankGroups 判斷 ContentStatus &amp; 1，並再依 Validate_Start、CreateTime 排序；前台清單渲染也會顯示置頂/熱門標籤。</t>
        </is>
      </c>
      <c r="Q33" s="17" t="inlineStr">
        <is>
          <t>2026-05-27</t>
        </is>
      </c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8" t="n">
        <v>33</v>
      </c>
      <c r="B34" s="18" t="inlineStr">
        <is>
          <t>前台問題追蹤表(ORD)</t>
        </is>
      </c>
      <c r="C34" s="18" t="inlineStr">
        <is>
          <t>180</t>
        </is>
      </c>
      <c r="D34" s="18" t="inlineStr">
        <is>
          <t>ORD / WCMS</t>
        </is>
      </c>
      <c r="E34" s="18" t="inlineStr">
        <is>
          <t>Gallery</t>
        </is>
      </c>
      <c r="F34" s="18" t="inlineStr">
        <is>
          <t>相簿狀態有設定【置頂】、【熱門】也都沒有出現</t>
        </is>
      </c>
      <c r="G34" s="18" t="inlineStr">
        <is>
          <t>排序/狀態</t>
        </is>
      </c>
      <c r="H34" s="18" t="inlineStr">
        <is>
          <t>高</t>
        </is>
      </c>
      <c r="I34" s="18" t="inlineStr">
        <is>
          <t>M</t>
        </is>
      </c>
      <c r="J34" s="18" t="n">
        <v>2</v>
      </c>
      <c r="K34" s="18" t="inlineStr">
        <is>
          <t>已完成</t>
        </is>
      </c>
      <c r="L34" s="18" t="inlineStr">
        <is>
          <t>複驗通過</t>
        </is>
      </c>
      <c r="M34" s="18" t="inlineStr">
        <is>
          <t>2026-05-27</t>
        </is>
      </c>
      <c r="N34" s="18" t="inlineStr">
        <is>
          <t>src/Features/Pages/Server/BizFunc/WEB/Gallery；src/Features/Pages/Client/BizFunc/WEB/Gallery</t>
        </is>
      </c>
      <c r="O34" s="18" t="inlineStr">
        <is>
          <t>後台問題追蹤表#150</t>
        </is>
      </c>
      <c r="P34" s="17" t="inlineStr">
        <is>
          <t>已依 GitHub main 複驗：GalleryCard 會讀取 ContentStatus，GalleryStatusLabels 依 ContentStatus &amp; 1 顯示「置頂」、&amp; 2 顯示「熱門」，已符合清單標籤顯示需求。</t>
        </is>
      </c>
      <c r="Q34" s="17" t="inlineStr">
        <is>
          <t>2026-05-27</t>
        </is>
      </c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5" t="n">
        <v>34</v>
      </c>
      <c r="B35" s="15" t="inlineStr">
        <is>
          <t>前台問題追蹤表(ORD)</t>
        </is>
      </c>
      <c r="C35" s="15" t="inlineStr">
        <is>
          <t>181</t>
        </is>
      </c>
      <c r="D35" s="15" t="inlineStr">
        <is>
          <t>1816 wcms</t>
        </is>
      </c>
      <c r="E35" s="15" t="inlineStr">
        <is>
          <t>Announcement</t>
        </is>
      </c>
      <c r="F35" s="15" t="inlineStr">
        <is>
          <t>公告QA序號錯亂，第2頁時應該為第11個</t>
        </is>
      </c>
      <c r="G35" s="15" t="inlineStr">
        <is>
          <t>功能/資料</t>
        </is>
      </c>
      <c r="H35" s="15" t="inlineStr">
        <is>
          <t>高</t>
        </is>
      </c>
      <c r="I35" s="15" t="inlineStr">
        <is>
          <t>M</t>
        </is>
      </c>
      <c r="J35" s="15" t="n">
        <v>2</v>
      </c>
      <c r="K35" s="15" t="inlineStr">
        <is>
          <t>已完成</t>
        </is>
      </c>
      <c r="L35" s="15" t="inlineStr">
        <is>
          <t>複驗通過（程式碼層）</t>
        </is>
      </c>
      <c r="M35" s="15" t="inlineStr">
        <is>
          <t>2026-05-27</t>
        </is>
      </c>
      <c r="N35" s="15" t="inlineStr">
        <is>
          <t>src/Features/Pages/Server/BizFunc/WEB/Announcement；src/Features/Pages/Client/BizFunc/WEB/Announcement</t>
        </is>
      </c>
      <c r="O35" s="15" t="n"/>
      <c r="P35" s="17" t="inlineStr">
        <is>
          <t>已依 GitHub main 複驗：QAList_Comp 使用 currentPage 與 pageSize 計算 startIndex，並在 ul.QA_info 設定 counterReset: faq-counter startIndex；第 2 頁應從第 11 筆接續。仍建議測試站看 CSS counter 顯示，但程式層已符合需求。</t>
        </is>
      </c>
      <c r="Q35" s="17" t="inlineStr">
        <is>
          <t>2026-05-27</t>
        </is>
      </c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8" t="n">
        <v>36</v>
      </c>
      <c r="B36" s="18" t="inlineStr">
        <is>
          <t>前台問題追蹤表(ORD)</t>
        </is>
      </c>
      <c r="C36" s="18" t="inlineStr">
        <is>
          <t>20</t>
        </is>
      </c>
      <c r="D36" s="18" t="inlineStr">
        <is>
          <t>共用 / 待判斷</t>
        </is>
      </c>
      <c r="E36" s="18" t="inlineStr">
        <is>
          <t>共用 / 待判斷</t>
        </is>
      </c>
      <c r="F36" s="18" t="inlineStr">
        <is>
          <t>1. 類別/標籤的欄位修改 =&gt; 無法輸入與FormData綁定有關需確認</t>
        </is>
      </c>
      <c r="G36" s="18" t="inlineStr">
        <is>
          <t>功能/資料</t>
        </is>
      </c>
      <c r="H36" s="18" t="inlineStr">
        <is>
          <t>高</t>
        </is>
      </c>
      <c r="I36" s="18" t="inlineStr">
        <is>
          <t>M</t>
        </is>
      </c>
      <c r="J36" s="18" t="n">
        <v>2</v>
      </c>
      <c r="K36" s="18" t="inlineStr">
        <is>
          <t>已完成</t>
        </is>
      </c>
      <c r="L36" s="18" t="inlineStr">
        <is>
          <t>複驗通過</t>
        </is>
      </c>
      <c r="M36" s="18" t="inlineStr">
        <is>
          <t>2026-05-27</t>
        </is>
      </c>
      <c r="N36" s="18" t="inlineStr">
        <is>
          <t>需依實際路由與功能檔案確認</t>
        </is>
      </c>
      <c r="O36" s="18" t="inlineStr">
        <is>
          <t>已完成</t>
        </is>
      </c>
      <c r="P36" s="17" t="inlineStr">
        <is>
          <t>已依 GitHub main 複驗：共用 Category/Tag 表單目前以 useSetTableField 搭配語系明細 rowKeys 綁定 CategoryName/TagName，並由 useEnsureLangDetails 補齊語系明細；可支援類別/標籤欄位輸入與 FormData 綁定。AA/SSR/CSR/弱掃風險低，屬後台表單資料綁定修正。</t>
        </is>
      </c>
      <c r="Q36" s="17" t="inlineStr">
        <is>
          <t>2026-05-27</t>
        </is>
      </c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5" t="n">
        <v>37</v>
      </c>
      <c r="B37" s="15" t="inlineStr">
        <is>
          <t>前台問題追蹤表(ORD)</t>
        </is>
      </c>
      <c r="C37" s="15" t="inlineStr">
        <is>
          <t>62</t>
        </is>
      </c>
      <c r="D37" s="15" t="inlineStr">
        <is>
          <t>首頁/研究企劃組/活動花絮/活動相簿</t>
        </is>
      </c>
      <c r="E37" s="15" t="inlineStr">
        <is>
          <t>Gallery</t>
        </is>
      </c>
      <c r="F37" s="15" t="inlineStr">
        <is>
          <t>1. 標題"活動相簿"沒有出現
2. 內頁相簿類別"組別"沒有顯示
3. 要顯示上架時間
4. 有一本相簿封面圖片未顯示</t>
        </is>
      </c>
      <c r="G37" s="15" t="inlineStr">
        <is>
          <t>排序/狀態</t>
        </is>
      </c>
      <c r="H37" s="15" t="inlineStr">
        <is>
          <t>高</t>
        </is>
      </c>
      <c r="I37" s="15" t="inlineStr">
        <is>
          <t>M</t>
        </is>
      </c>
      <c r="J37" s="15" t="n">
        <v>2</v>
      </c>
      <c r="K37" s="15" t="inlineStr">
        <is>
          <t>退回，未通過</t>
        </is>
      </c>
      <c r="L37" s="15" t="inlineStr">
        <is>
          <t>複驗未通過</t>
        </is>
      </c>
      <c r="M37" s="15" t="n"/>
      <c r="N37" s="15" t="inlineStr">
        <is>
          <t>src/Features/Pages/Server/BizFunc/WEB/Gallery；src/Features/Pages/Client/BizFunc/WEB/Gallery</t>
        </is>
      </c>
      <c r="O37" s="15" t="inlineStr">
        <is>
          <t>開發中</t>
        </is>
      </c>
      <c r="P37" s="17" t="inlineStr">
        <is>
          <t>已依 GitHub main 複驗：GalleryList 會顯示分類、上架日期與封面圖，但 ModuleContent 僅在 title 有值時顯示頁面標題；目前 GalleryList 傳入 title=""，所以「活動相簿」視覺標題仍不會由 ModuleContent 顯示。</t>
        </is>
      </c>
      <c r="Q37" s="17" t="inlineStr">
        <is>
          <t>2026-05-27</t>
        </is>
      </c>
      <c r="R37" s="17" t="inlineStr">
        <is>
          <t>不符合處：清單頁標題「活動相簿」仍可能不顯示；封面圖若資料未有 CoverPicSrcId 也缺預設圖 fallback。影響範圍：Gallery 前台清單標題、封面圖顯示與正式站視覺一致性。對應檔案：src/Features/Pages/Client/BizFunc/WEB/Gallery/GalleryList_Comp.tsx、ModuleContent.tsx。建議：GalleryList 傳入 title={props.node.title} 或由 ModuleContent 顯示 nodeTitle；封面圖補預設圖 fallback。涉及 UI/AA 圖片替代文字。</t>
        </is>
      </c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8" t="n">
        <v>38</v>
      </c>
      <c r="B38" s="18" t="inlineStr">
        <is>
          <t>前台問題追蹤表(ORD)</t>
        </is>
      </c>
      <c r="C38" s="18" t="inlineStr">
        <is>
          <t>65</t>
        </is>
      </c>
      <c r="D38" s="18" t="inlineStr">
        <is>
          <t>首頁/學術發展組/研究榮譽/國科會計畫/106-110年度/110年度</t>
        </is>
      </c>
      <c r="E38" s="18" t="inlineStr">
        <is>
          <t>SpecResearch / SpecUSR</t>
        </is>
      </c>
      <c r="F38" s="18" t="inlineStr">
        <is>
          <t>1. 第五層在上面
2. 列表順序排錯，請參照1810
3. 計畫核定列表總金額在最後面</t>
        </is>
      </c>
      <c r="G38" s="18" t="inlineStr">
        <is>
          <t>功能/資料</t>
        </is>
      </c>
      <c r="H38" s="18" t="inlineStr">
        <is>
          <t>高</t>
        </is>
      </c>
      <c r="I38" s="18" t="inlineStr">
        <is>
          <t>M</t>
        </is>
      </c>
      <c r="J38" s="18" t="n">
        <v>2</v>
      </c>
      <c r="K38" s="18" t="inlineStr">
        <is>
          <t>待修</t>
        </is>
      </c>
      <c r="L38" s="18" t="inlineStr">
        <is>
          <t>未驗收</t>
        </is>
      </c>
      <c r="M38" s="18" t="n"/>
      <c r="N38" s="18" t="inlineStr">
        <is>
          <t>src/SpecFetures/1810/Pages/Server/BizFunc/WEB/SpecResearch；SpecUSR</t>
        </is>
      </c>
      <c r="O38" s="18" t="inlineStr">
        <is>
          <t>處理中</t>
        </is>
      </c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5" t="n">
        <v>39</v>
      </c>
      <c r="B39" s="15" t="inlineStr">
        <is>
          <t>前台問題追蹤表(ORD)</t>
        </is>
      </c>
      <c r="C39" s="15" t="inlineStr">
        <is>
          <t>92</t>
        </is>
      </c>
      <c r="D39" s="15" t="inlineStr">
        <is>
          <t>英文頁面</t>
        </is>
      </c>
      <c r="E39" s="15" t="inlineStr">
        <is>
          <t>PageManagement / TinyMCE</t>
        </is>
      </c>
      <c r="F39" s="15" t="inlineStr">
        <is>
          <t>1810的英文頁面尚未搬至正式站</t>
        </is>
      </c>
      <c r="G39" s="15" t="inlineStr">
        <is>
          <t>多語系</t>
        </is>
      </c>
      <c r="H39" s="15" t="inlineStr">
        <is>
          <t>高</t>
        </is>
      </c>
      <c r="I39" s="15" t="inlineStr">
        <is>
          <t>M</t>
        </is>
      </c>
      <c r="J39" s="15" t="n">
        <v>2</v>
      </c>
      <c r="K39" s="15" t="inlineStr">
        <is>
          <t>部分複驗，待資料/實機確認</t>
        </is>
      </c>
      <c r="L39" s="15" t="inlineStr">
        <is>
          <t>部分複驗，待資料/實機確認</t>
        </is>
      </c>
      <c r="M39" s="15" t="n"/>
      <c r="N39" s="15" t="inlineStr">
        <is>
          <t>src/Features/Pages/Server/BizFunc/WEB/PageManagement；src/SysCore/Components/TinyMCE</t>
        </is>
      </c>
      <c r="O39" s="15" t="inlineStr">
        <is>
          <t>英文網站暫後處理</t>
        </is>
      </c>
      <c r="P39" s="17" t="inlineStr">
        <is>
          <t>PageManagement 程式層可依 lang 取 PageManagementDetail.Lang；但「1810 英文頁面是否已搬至正式站」屬正式站資料/DB 狀態，GitHub main 無法證明資料已搬完，需實機或 DB 查核。</t>
        </is>
      </c>
      <c r="Q39" s="17" t="inlineStr">
        <is>
          <t>2026-05-27</t>
        </is>
      </c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8" t="n">
        <v>40</v>
      </c>
      <c r="B40" s="18" t="inlineStr">
        <is>
          <t>前台問題追蹤表(ORD)</t>
        </is>
      </c>
      <c r="C40" s="18" t="inlineStr">
        <is>
          <t>107</t>
        </is>
      </c>
      <c r="D40" s="18" t="inlineStr">
        <is>
          <t>英文頁面</t>
        </is>
      </c>
      <c r="E40" s="18" t="inlineStr">
        <is>
          <t>PageManagement / TinyMCE</t>
        </is>
      </c>
      <c r="F40" s="18" t="inlineStr">
        <is>
          <t>前台看不到英文頁面</t>
        </is>
      </c>
      <c r="G40" s="18" t="inlineStr">
        <is>
          <t>多語系</t>
        </is>
      </c>
      <c r="H40" s="18" t="inlineStr">
        <is>
          <t>高</t>
        </is>
      </c>
      <c r="I40" s="18" t="inlineStr">
        <is>
          <t>M</t>
        </is>
      </c>
      <c r="J40" s="18" t="n">
        <v>2</v>
      </c>
      <c r="K40" s="18" t="inlineStr">
        <is>
          <t>部分複驗，待資料/實機確認</t>
        </is>
      </c>
      <c r="L40" s="18" t="inlineStr">
        <is>
          <t>部分複驗，待資料/實機確認</t>
        </is>
      </c>
      <c r="M40" s="18" t="n"/>
      <c r="N40" s="18" t="inlineStr">
        <is>
          <t>src/Features/Pages/Server/BizFunc/WEB/PageManagement；src/SysCore/Components/TinyMCE</t>
        </is>
      </c>
      <c r="O40" s="18" t="inlineStr">
        <is>
          <t>開發中</t>
        </is>
      </c>
      <c r="P40" s="17" t="inlineStr">
        <is>
          <t>已依 GitHub main 複驗：前台 PageManagement 支援多語系 detail 與英文路由；但若正式站缺英文 SiteMenu/PageManagementDetail，仍會看不到英文頁面或 fallback。需以正式站資料確認。</t>
        </is>
      </c>
      <c r="Q40" s="17" t="inlineStr">
        <is>
          <t>2026-05-27</t>
        </is>
      </c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5" t="n">
        <v>41</v>
      </c>
      <c r="B41" s="15" t="inlineStr">
        <is>
          <t>前台問題追蹤表(ORD)</t>
        </is>
      </c>
      <c r="C41" s="15" t="inlineStr">
        <is>
          <t>157</t>
        </is>
      </c>
      <c r="D41" s="15" t="inlineStr">
        <is>
          <t>正式站研究計畫/USR計畫前後台的顯示條件依據</t>
        </is>
      </c>
      <c r="E41" s="15" t="inlineStr">
        <is>
          <t>SpecResearch / SpecUSR</t>
        </is>
      </c>
      <c r="F41" s="15" t="inlineStr">
        <is>
          <t>狀態＞排序（大到小）＞新增建立時間（新到舊），編輯修改時間不採用。</t>
        </is>
      </c>
      <c r="G41" s="15" t="inlineStr">
        <is>
          <t>排序/狀態</t>
        </is>
      </c>
      <c r="H41" s="15" t="inlineStr">
        <is>
          <t>高</t>
        </is>
      </c>
      <c r="I41" s="15" t="inlineStr">
        <is>
          <t>M</t>
        </is>
      </c>
      <c r="J41" s="15" t="n">
        <v>2</v>
      </c>
      <c r="K41" s="15" t="inlineStr">
        <is>
          <t>退回，未通過</t>
        </is>
      </c>
      <c r="L41" s="15" t="inlineStr">
        <is>
          <t>複驗未通過</t>
        </is>
      </c>
      <c r="M41" s="15" t="n"/>
      <c r="N41" s="15" t="inlineStr">
        <is>
          <t>src/SpecFetures/1810/Pages/Server/BizFunc/WEB/SpecResearch；SpecUSR</t>
        </is>
      </c>
      <c r="O41" s="15" t="inlineStr">
        <is>
          <t>目前照欄位:【年度】、【學年度】做排序</t>
        </is>
      </c>
      <c r="P41" s="17" t="inlineStr">
        <is>
          <t>已依 GitHub main 複驗：SpecResearch / SpecUSR 前台查詢都有 ContentStatus 置頂 RankGroups，但 OrderBy 仍以 Year / AcademicYear / Semester 等年度欄位排序，未符合表單要求的「狀態＞排序（大到小）＞新增建立時間」。</t>
        </is>
      </c>
      <c r="Q41" s="17" t="inlineStr">
        <is>
          <t>2026-05-27</t>
        </is>
      </c>
      <c r="R41" s="17" t="inlineStr">
        <is>
          <t>不符合處：顯示排序規則未符合「狀態＞排序（大到小）＞新增建立時間」，目前仍照年度/學年度/學期等欄位。影響範圍：正式站研究計畫與 USR 計畫前後台顯示順序，客戶設定排序後可能與前台不一致。對應檔案：src/SpecFetures/1810/Pages/Client/BizFunc/WEB/SpecResearch/SpecResearch_List_Loader.ts、src/SpecFetures/1810/Pages/Client/BizFunc/WEB/SpecUSR/SpecUSR_List_Loader.ts。建議：資料模型/API 需提供 Sort 與 CreateTime 欄位並納入 OrderBy；若年度排序為特殊業務規則，需在收斂表拆成例外規則。涉及 UI/資料排序/SSR。</t>
        </is>
      </c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8" t="n">
        <v>42</v>
      </c>
      <c r="B42" s="18" t="inlineStr">
        <is>
          <t>前台問題追蹤表(ORD)</t>
        </is>
      </c>
      <c r="C42" s="18" t="inlineStr">
        <is>
          <t>158</t>
        </is>
      </c>
      <c r="D42" s="18" t="inlineStr">
        <is>
          <t>USR計畫</t>
        </is>
      </c>
      <c r="E42" s="18" t="inlineStr">
        <is>
          <t>SpecResearch / SpecUSR</t>
        </is>
      </c>
      <c r="F42" s="18" t="inlineStr">
        <is>
          <t>研究亮點前台加上搜尋功能</t>
        </is>
      </c>
      <c r="G42" s="18" t="inlineStr">
        <is>
          <t>搜尋</t>
        </is>
      </c>
      <c r="H42" s="18" t="inlineStr">
        <is>
          <t>高</t>
        </is>
      </c>
      <c r="I42" s="18" t="inlineStr">
        <is>
          <t>M</t>
        </is>
      </c>
      <c r="J42" s="18" t="n">
        <v>2</v>
      </c>
      <c r="K42" s="18" t="inlineStr">
        <is>
          <t>待修</t>
        </is>
      </c>
      <c r="L42" s="18" t="inlineStr">
        <is>
          <t>未驗收</t>
        </is>
      </c>
      <c r="M42" s="18" t="n"/>
      <c r="N42" s="18" t="inlineStr">
        <is>
          <t>src/SpecFetures/1810/Pages/Server/BizFunc/WEB/SpecResearch；SpecUSR</t>
        </is>
      </c>
      <c r="O42" s="18" t="inlineStr">
        <is>
          <t>與文字雲相關，放後</t>
        </is>
      </c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5" t="n">
        <v>43</v>
      </c>
      <c r="B43" s="15" t="inlineStr">
        <is>
          <t>前台問題追蹤表(ORD)</t>
        </is>
      </c>
      <c r="C43" s="15" t="inlineStr">
        <is>
          <t>140</t>
        </is>
      </c>
      <c r="D43" s="15" t="inlineStr">
        <is>
          <t>手機版/前台所有相簿列表</t>
        </is>
      </c>
      <c r="E43" s="15" t="inlineStr">
        <is>
          <t>Gallery</t>
        </is>
      </c>
      <c r="F43" s="15" t="inlineStr">
        <is>
          <t>無滿版置中（所有相簿皆有此問題）</t>
        </is>
      </c>
      <c r="G43" s="15" t="inlineStr">
        <is>
          <t>UI/樣式</t>
        </is>
      </c>
      <c r="H43" s="15" t="inlineStr">
        <is>
          <t>高</t>
        </is>
      </c>
      <c r="I43" s="15" t="inlineStr">
        <is>
          <t>M</t>
        </is>
      </c>
      <c r="J43" s="15" t="n">
        <v>2</v>
      </c>
      <c r="K43" s="15" t="inlineStr">
        <is>
          <t>已完成</t>
        </is>
      </c>
      <c r="L43" s="15" t="inlineStr">
        <is>
          <t>複驗通過（程式碼層）</t>
        </is>
      </c>
      <c r="M43" s="15" t="inlineStr">
        <is>
          <t>2026-05-27</t>
        </is>
      </c>
      <c r="N43" s="15" t="inlineStr">
        <is>
          <t>src/Features/Pages/Server/BizFunc/WEB/Gallery；src/Features/Pages/Client/BizFunc/WEB/Gallery</t>
        </is>
      </c>
      <c r="O43" s="15" t="inlineStr">
        <is>
          <t>已完成可測試</t>
        </is>
      </c>
      <c r="P43" s="17" t="inlineStr">
        <is>
          <t>已依 GitHub main 複驗：GalleryList/GalleryForm 的卡片外層皆使用 col-12 mobile 欄位，SubPage_Standard_itemBoxs 也有 flex wrap 與圖片置中設定；手機尺寸下可滿版排列並置中，程式碼層可通過。</t>
        </is>
      </c>
      <c r="Q43" s="17" t="inlineStr">
        <is>
          <t>2026-05-27</t>
        </is>
      </c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8" t="n">
        <v>44</v>
      </c>
      <c r="B44" s="18" t="inlineStr">
        <is>
          <t>前台問題追蹤表(ORD)</t>
        </is>
      </c>
      <c r="C44" s="18" t="inlineStr">
        <is>
          <t>141</t>
        </is>
      </c>
      <c r="D44" s="18" t="inlineStr">
        <is>
          <t>手機版/前台所有影音列表</t>
        </is>
      </c>
      <c r="E44" s="18" t="inlineStr">
        <is>
          <t>WebResource</t>
        </is>
      </c>
      <c r="F44" s="18" t="inlineStr">
        <is>
          <t>無滿版置中（所有影音皆有此問題）。</t>
        </is>
      </c>
      <c r="G44" s="18" t="inlineStr">
        <is>
          <t>UI/樣式</t>
        </is>
      </c>
      <c r="H44" s="18" t="inlineStr">
        <is>
          <t>高</t>
        </is>
      </c>
      <c r="I44" s="18" t="inlineStr">
        <is>
          <t>M</t>
        </is>
      </c>
      <c r="J44" s="18" t="n">
        <v>2</v>
      </c>
      <c r="K44" s="18" t="inlineStr">
        <is>
          <t>已完成</t>
        </is>
      </c>
      <c r="L44" s="18" t="inlineStr">
        <is>
          <t>複驗通過（程式碼層）</t>
        </is>
      </c>
      <c r="M44" s="18" t="inlineStr">
        <is>
          <t>2026-05-27</t>
        </is>
      </c>
      <c r="N44" s="18" t="inlineStr">
        <is>
          <t>src/Features/Pages/Server/BizFunc/WEB/WebResource；src/Features/Pages/Client/BizFunc/WEB/WebResource</t>
        </is>
      </c>
      <c r="O44" s="18" t="inlineStr">
        <is>
          <t>已完成可測試</t>
        </is>
      </c>
      <c r="P44" s="17" t="inlineStr">
        <is>
          <t>已依 GitHub main 複驗：WebResource 圖文影音清單外層使用 col-12 mobile 欄位，並沿用 SubPage_Standard_itemBoxs 共用 CSS 的 flex wrap/figure 置中/圖片 100% 設定；手機滿版置中需求程式碼層可通過。</t>
        </is>
      </c>
      <c r="Q44" s="17" t="inlineStr">
        <is>
          <t>2026-05-27</t>
        </is>
      </c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5" t="n">
        <v>45</v>
      </c>
      <c r="B45" s="15" t="inlineStr">
        <is>
          <t>前台問題追蹤表(ORD)</t>
        </is>
      </c>
      <c r="C45" s="15" t="inlineStr">
        <is>
          <t>148</t>
        </is>
      </c>
      <c r="D45" s="15" t="inlineStr">
        <is>
          <t>正式站前後台的廣告輪播顯示條件依據</t>
        </is>
      </c>
      <c r="E45" s="15" t="inlineStr">
        <is>
          <t>Announcement</t>
        </is>
      </c>
      <c r="F45" s="15" t="inlineStr">
        <is>
          <t>狀態＞排序（大到小）＞公告時間＞新增建立時間（新到舊），編輯修改時間不採用。</t>
        </is>
      </c>
      <c r="G45" s="15" t="inlineStr">
        <is>
          <t>排序/狀態</t>
        </is>
      </c>
      <c r="H45" s="15" t="inlineStr">
        <is>
          <t>高</t>
        </is>
      </c>
      <c r="I45" s="15" t="inlineStr">
        <is>
          <t>M</t>
        </is>
      </c>
      <c r="J45" s="15" t="n">
        <v>2</v>
      </c>
      <c r="K45" s="15" t="inlineStr">
        <is>
          <t>退回，未通過</t>
        </is>
      </c>
      <c r="L45" s="15" t="inlineStr">
        <is>
          <t>複驗未通過</t>
        </is>
      </c>
      <c r="M45" s="15" t="n"/>
      <c r="N45" s="15" t="inlineStr">
        <is>
          <t>src/Features/Pages/Server/BizFunc/WEB/Announcement；src/Features/Pages/Client/BizFunc/WEB/Announcement</t>
        </is>
      </c>
      <c r="O45" s="15" t="inlineStr">
        <is>
          <t>已完成可測試</t>
        </is>
      </c>
      <c r="P45" s="17" t="inlineStr">
        <is>
          <t>已依 GitHub main 複驗：HomePage_Loader 的 Banner 查詢目前只依 BannerFields.CreateTime desc 取 1 筆，未看到依狀態、Sort 大到小、公告/上架時間、建立時間的完整排序鏈。</t>
        </is>
      </c>
      <c r="Q45" s="17" t="inlineStr">
        <is>
          <t>2026-05-27</t>
        </is>
      </c>
      <c r="R45" s="17" t="inlineStr">
        <is>
          <t>不符合處：廣告輪播/首頁 Banner 顯示條件未符合「狀態＞排序（大到小）＞公告時間＞新增建立時間」規則。影響範圍：首頁 Banner/廣告輪播顯示順序，可能造成客戶設定排序後前台不一致。對應檔案：src/Features/Pages/Client/Index/HomePage_Loader.ts。建議：Banner query 補 ContentStatus/Validate_Start 條件，OrderBy 補 Sort desc、Validate_Start desc、CreateTime desc；若後端有統一排序規則，應移到 API 或共用查詢建構。涉及 UI/資料排序/SSR 首屏一致性。</t>
        </is>
      </c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8" t="n">
        <v>46</v>
      </c>
      <c r="B46" s="18" t="inlineStr">
        <is>
          <t>前台問題追蹤表(ORD)</t>
        </is>
      </c>
      <c r="C46" s="18" t="inlineStr">
        <is>
          <t>149</t>
        </is>
      </c>
      <c r="D46" s="18" t="inlineStr">
        <is>
          <t>正式站前後台的公告顯示條件依據</t>
        </is>
      </c>
      <c r="E46" s="18" t="inlineStr">
        <is>
          <t>Announcement</t>
        </is>
      </c>
      <c r="F46" s="18" t="inlineStr">
        <is>
          <t>狀態＞公告時間＞新增建立時間（新到舊），編輯修改時間不採用。
並請協助確認【公告日期是否可以為未來式】？</t>
        </is>
      </c>
      <c r="G46" s="18" t="inlineStr">
        <is>
          <t>功能/資料</t>
        </is>
      </c>
      <c r="H46" s="18" t="inlineStr">
        <is>
          <t>高</t>
        </is>
      </c>
      <c r="I46" s="18" t="inlineStr">
        <is>
          <t>M</t>
        </is>
      </c>
      <c r="J46" s="18" t="n">
        <v>2</v>
      </c>
      <c r="K46" s="18" t="inlineStr">
        <is>
          <t>已完成</t>
        </is>
      </c>
      <c r="L46" s="18" t="inlineStr">
        <is>
          <t>複驗通過</t>
        </is>
      </c>
      <c r="M46" s="18" t="inlineStr">
        <is>
          <t>2026-05-27</t>
        </is>
      </c>
      <c r="N46" s="18" t="inlineStr">
        <is>
          <t>src/Features/Pages/Server/BizFunc/WEB/Announcement；src/Features/Pages/Client/BizFunc/WEB/Announcement</t>
        </is>
      </c>
      <c r="O46" s="18" t="inlineStr">
        <is>
          <t>未來式時間查詢條件後續加上，164點有紀錄該問題</t>
        </is>
      </c>
      <c r="P46" s="17" t="inlineStr">
        <is>
          <t>已依 GitHub main 複驗：Announcement 前台清單 query 已有未來日期條件、ContentStatus 排除下架、置頂 RankGroups，OrderBy 依 Validate_Start desc、CreateTime desc；首頁也切分置頂/非置頂後合併，符合「狀態＞公告時間＞新增建立時間」主要規則。</t>
        </is>
      </c>
      <c r="Q46" s="17" t="inlineStr">
        <is>
          <t>2026-05-27</t>
        </is>
      </c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5" t="n">
        <v>47</v>
      </c>
      <c r="B47" s="15" t="inlineStr">
        <is>
          <t>前台問題追蹤表(ORD)</t>
        </is>
      </c>
      <c r="C47" s="15" t="inlineStr">
        <is>
          <t>150</t>
        </is>
      </c>
      <c r="D47" s="15" t="inlineStr">
        <is>
          <t>正式站前後台的相簿顯示條件依據</t>
        </is>
      </c>
      <c r="E47" s="15" t="inlineStr">
        <is>
          <t>Announcement</t>
        </is>
      </c>
      <c r="F47" s="15" t="inlineStr">
        <is>
          <t>狀態＞排序（大到小）＞公告時間＞新增建立時間（新到舊），編輯修改時間不採用。
並請協助確認【公告日期是否可以為未來式】？</t>
        </is>
      </c>
      <c r="G47" s="15" t="inlineStr">
        <is>
          <t>排序/狀態</t>
        </is>
      </c>
      <c r="H47" s="15" t="inlineStr">
        <is>
          <t>高</t>
        </is>
      </c>
      <c r="I47" s="15" t="inlineStr">
        <is>
          <t>M</t>
        </is>
      </c>
      <c r="J47" s="15" t="n">
        <v>2</v>
      </c>
      <c r="K47" s="15" t="inlineStr">
        <is>
          <t>退回，未通過</t>
        </is>
      </c>
      <c r="L47" s="15" t="inlineStr">
        <is>
          <t>複驗未通過</t>
        </is>
      </c>
      <c r="M47" s="15" t="n"/>
      <c r="N47" s="15" t="inlineStr">
        <is>
          <t>src/Features/Pages/Server/BizFunc/WEB/Announcement；src/Features/Pages/Client/BizFunc/WEB/Announcement</t>
        </is>
      </c>
      <c r="O47" s="15" t="inlineStr">
        <is>
          <t>已完成可測試</t>
        </is>
      </c>
      <c r="P47" s="17" t="inlineStr">
        <is>
          <t>已依 GitHub main 複驗：首頁 Gallery 查詢目前有狀態置頂/非置頂與 Validate_Start，但 OrderBy 只有 Validate_Start desc，未看到排序編號與建立時間作為後續排序條件。</t>
        </is>
      </c>
      <c r="Q47" s="17" t="inlineStr">
        <is>
          <t>2026-05-27</t>
        </is>
      </c>
      <c r="R47" s="17" t="inlineStr">
        <is>
          <t>不符合處：相簿顯示條件尚未完整符合「狀態＞排序（大到小）＞公告時間＞新增建立時間」；目前缺少 Sort 與 CreateTime 後續排序。影響範圍：首頁相簿顯示順序與客戶後台排序設定一致性。對應檔案：src/Features/Pages/Client/Index/HomePage_Loader.ts。建議：Gallery query 補 Sort desc、Validate_Start desc、CreateTime desc；若共用相簿列表也要一致，應同步檢查 GalleryList_Loader。涉及 UI/排序/SSR 首屏一致性。</t>
        </is>
      </c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8" t="n">
        <v>48</v>
      </c>
      <c r="B48" s="18" t="inlineStr">
        <is>
          <t>前台問題追蹤表(ORD)</t>
        </is>
      </c>
      <c r="C48" s="18" t="inlineStr">
        <is>
          <t>152</t>
        </is>
      </c>
      <c r="D48" s="18" t="inlineStr">
        <is>
          <t>正式站前後台的網路資源顯示條件依據</t>
        </is>
      </c>
      <c r="E48" s="18" t="inlineStr">
        <is>
          <t>WebResource</t>
        </is>
      </c>
      <c r="F48" s="18" t="inlineStr">
        <is>
          <t>狀態＞排序（大到小）＞新增建立時間（新到舊），編輯修改時間不採用。</t>
        </is>
      </c>
      <c r="G48" s="18" t="inlineStr">
        <is>
          <t>排序/狀態</t>
        </is>
      </c>
      <c r="H48" s="18" t="inlineStr">
        <is>
          <t>高</t>
        </is>
      </c>
      <c r="I48" s="18" t="inlineStr">
        <is>
          <t>M</t>
        </is>
      </c>
      <c r="J48" s="18" t="n">
        <v>2</v>
      </c>
      <c r="K48" s="18" t="inlineStr">
        <is>
          <t>退回，未通過</t>
        </is>
      </c>
      <c r="L48" s="18" t="inlineStr">
        <is>
          <t>複驗未通過</t>
        </is>
      </c>
      <c r="M48" s="18" t="n"/>
      <c r="N48" s="18" t="inlineStr">
        <is>
          <t>src/Features/Pages/Server/BizFunc/WEB/WebResource；src/Features/Pages/Client/BizFunc/WEB/WebResource</t>
        </is>
      </c>
      <c r="O48" s="18" t="inlineStr">
        <is>
          <t>已完成可測試</t>
        </is>
      </c>
      <c r="P48" s="17" t="inlineStr">
        <is>
          <t>已依 GitHub main 複驗：WebResourceList_Loader 目前有 ContentStatus 置頂 RankGroups，但 OrderBy 只有 CreateTime desc，未看到排序欄位 Sort 大到小或其他排序編號欄位。</t>
        </is>
      </c>
      <c r="Q48" s="17" t="inlineStr">
        <is>
          <t>2026-05-27</t>
        </is>
      </c>
      <c r="R48" s="17" t="inlineStr">
        <is>
          <t>不符合處：WebResource 顯示條件尚未完整符合「狀態＞排序（大到小）＞新增建立時間」。影響範圍：網路資源/影音列表的前台順序，可能與後台排序設定不一致。對應檔案：src/Features/Pages/Client/BizFunc/WEB/WebResource/WebResourceList_Loader.ts。建議：補排序欄位至 Fields 與 OrderBy，排序鏈改為置頂/狀態後，再依 Sort desc、CreateTime desc；若首頁與內頁規則一致，需同步 HomePage_Loader。涉及 UI/資料排序/SSR。</t>
        </is>
      </c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5" t="n">
        <v>49</v>
      </c>
      <c r="B49" s="15" t="inlineStr">
        <is>
          <t>前台問題追蹤表(ORD)</t>
        </is>
      </c>
      <c r="C49" s="15" t="inlineStr">
        <is>
          <t>155</t>
        </is>
      </c>
      <c r="D49" s="15" t="inlineStr">
        <is>
          <t>首頁/活動影音</t>
        </is>
      </c>
      <c r="E49" s="15" t="inlineStr">
        <is>
          <t>WebResource</t>
        </is>
      </c>
      <c r="F49" s="15" t="inlineStr">
        <is>
          <t>內頁影片列表的影片title都被截掉，高度有需要增加？（所有影音列表皆有此問題）</t>
        </is>
      </c>
      <c r="G49" s="15" t="inlineStr">
        <is>
          <t>功能/資料</t>
        </is>
      </c>
      <c r="H49" s="15" t="inlineStr">
        <is>
          <t>高</t>
        </is>
      </c>
      <c r="I49" s="15" t="inlineStr">
        <is>
          <t>M</t>
        </is>
      </c>
      <c r="J49" s="15" t="n">
        <v>2</v>
      </c>
      <c r="K49" s="15" t="inlineStr">
        <is>
          <t>退回，未通過</t>
        </is>
      </c>
      <c r="L49" s="15" t="inlineStr">
        <is>
          <t>複驗未通過</t>
        </is>
      </c>
      <c r="M49" s="15" t="n"/>
      <c r="N49" s="15" t="inlineStr">
        <is>
          <t>src/Features/Pages/Server/BizFunc/WEB/WebResource；src/Features/Pages/Client/BizFunc/WEB/WebResource</t>
        </is>
      </c>
      <c r="O49" s="15" t="inlineStr">
        <is>
          <t>已完成可測試</t>
        </is>
      </c>
      <c r="P49" s="17" t="inlineStr">
        <is>
          <t>已依 GitHub main 複驗：WebResource title 使用共用 .SubPage_Standard_itemBoxs .card_title 樣式；CSS 仍設定 -webkit-line-clamp: 2、max-height: 50px、height: 50px，手機也限制 45px，因此長標題仍會被截斷。</t>
        </is>
      </c>
      <c r="Q49" s="17" t="inlineStr">
        <is>
          <t>2026-05-27</t>
        </is>
      </c>
      <c r="R49" s="17" t="inlineStr">
        <is>
          <t>不符合處：影音列表 title 仍被 line-clamp/固定高度截斷。影響範圍：所有使用 SubPage_Standard_itemBoxs 的 WebResource 影音卡片；標題資訊不完整會影響 AA 可讀性與使用者判讀。對應檔案：src/Features/Pages/Client/Scaffold/SubPages/subpage-content.css、src/Features/Pages/Client/BizFunc/WEB/WebResource/WebResourceList.tsx。建議：針對 WebResource title 增加可覆寫 class，移除固定 height 或改成 3~4 行/自動高度；必要時只保留列表卡片等高容器。涉及 UI/AA。</t>
        </is>
      </c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8" t="n">
        <v>50</v>
      </c>
      <c r="B50" s="18" t="inlineStr">
        <is>
          <t>前台問題追蹤表(ORD)</t>
        </is>
      </c>
      <c r="C50" s="18" t="inlineStr">
        <is>
          <t>177</t>
        </is>
      </c>
      <c r="D50" s="18" t="inlineStr">
        <is>
          <t>1816圖書館Menu</t>
        </is>
      </c>
      <c r="E50" s="18" t="inlineStr">
        <is>
          <t>PageManagement / TinyMCE</t>
        </is>
      </c>
      <c r="F50" s="18" t="inlineStr">
        <is>
          <t>頁面縮成視窗一半時，點選Menu會閃爍</t>
        </is>
      </c>
      <c r="G50" s="18" t="inlineStr">
        <is>
          <t>功能/資料</t>
        </is>
      </c>
      <c r="H50" s="18" t="inlineStr">
        <is>
          <t>高</t>
        </is>
      </c>
      <c r="I50" s="18" t="inlineStr">
        <is>
          <t>M</t>
        </is>
      </c>
      <c r="J50" s="18" t="n">
        <v>2</v>
      </c>
      <c r="K50" s="18" t="inlineStr">
        <is>
          <t>部分複驗，待實機確認</t>
        </is>
      </c>
      <c r="L50" s="18" t="inlineStr">
        <is>
          <t>部分複驗，待實機確認</t>
        </is>
      </c>
      <c r="M50" s="18" t="n"/>
      <c r="N50" s="18" t="inlineStr">
        <is>
          <t>src/Features/Pages/Server/BizFunc/WEB/PageManagement；src/SysCore/Components/T...</t>
        </is>
      </c>
      <c r="O50" s="18" t="inlineStr">
        <is>
          <t>已完成</t>
        </is>
      </c>
      <c r="P50" s="26" t="inlineStr">
        <is>
          <t>第十九批依本次完整 ZIP 重新複驗：1816 Header.tsx 已加入 resize breakpoint、route change 關閉、Escape 關閉、focus 離開關閉、外部 pointerdown 關閉、點擊/Enter 子連結收合與 hover-suppressed 控制；Spec1816.css 亦有 dropdown-mega show/is-closing 動畫與 prefers-reduced-motion 處理。惟「半視窗點 Menu 閃爍」需實際瀏覽器縮放、滑鼠 hover、Tab/Enter、點擊子項目與路由切換驗證。涉及 AA、UI、CSR、響應式斷點；維持待實機確認。</t>
        </is>
      </c>
      <c r="Q50" s="26" t="inlineStr">
        <is>
          <t>2026-05-27</t>
        </is>
      </c>
      <c r="R50" s="26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5" t="n">
        <v>51</v>
      </c>
      <c r="B51" s="15" t="inlineStr">
        <is>
          <t>前台問題追蹤表(ORD)</t>
        </is>
      </c>
      <c r="C51" s="15" t="inlineStr">
        <is>
          <t>100</t>
        </is>
      </c>
      <c r="D51" s="15" t="inlineStr">
        <is>
          <t>Footer調整</t>
        </is>
      </c>
      <c r="E51" s="15" t="inlineStr">
        <is>
          <t>Announcement</t>
        </is>
      </c>
      <c r="F51" s="15" t="inlineStr">
        <is>
          <t>1. 最新消息~資料下載往右移，稍微置中
2. 最下排文字拿掉，希望排版整齊乾淨</t>
        </is>
      </c>
      <c r="G51" s="15" t="inlineStr">
        <is>
          <t>檔案/媒體</t>
        </is>
      </c>
      <c r="H51" s="15" t="inlineStr">
        <is>
          <t>高</t>
        </is>
      </c>
      <c r="I51" s="15" t="inlineStr">
        <is>
          <t>M</t>
        </is>
      </c>
      <c r="J51" s="15" t="n">
        <v>4</v>
      </c>
      <c r="K51" s="15" t="inlineStr">
        <is>
          <t>退回，未通過</t>
        </is>
      </c>
      <c r="L51" s="15" t="inlineStr">
        <is>
          <t>複驗未通過</t>
        </is>
      </c>
      <c r="M51" s="15" t="n"/>
      <c r="N51" s="15" t="inlineStr">
        <is>
          <t>src/Features/Pages/Server/BizFunc/WEB/Announcement；src/Features/Pages/Client/...</t>
        </is>
      </c>
      <c r="O51" s="15" t="n"/>
      <c r="P51" s="26" t="inlineStr">
        <is>
          <t>已依本次 ZIP 複驗：Footer 元件仍固定渲染 copyright_section，包含在線人數、總瀏覽人數、網站更新日期、系統版本、Copyright 與 Design by it-easygo 連結，未符合「最下排文字拿掉」需求。</t>
        </is>
      </c>
      <c r="Q51" s="26" t="inlineStr">
        <is>
          <t>2026-05-27</t>
        </is>
      </c>
      <c r="R51" s="26" t="inlineStr">
        <is>
          <t>不符合處：Footer 最下排文字仍存在，尚未移除或依規格隱藏。影響範圍：前台 Footer 全站共用版面；會影響首頁與內頁底部排版一致性。對應檔案：src/Features/Pages/Client/Scaffold/MainFrame/Footer/Footer.tsx、Footer.css。建議修正方向：依需求移除 copyright_section 或改由 site/spec 設定控制顯示；若只針對特定案場，請加 spec CSS/設定而非硬刪共用資訊。涉及：UI/AA/SSR/CSR。</t>
        </is>
      </c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8" t="n">
        <v>52</v>
      </c>
      <c r="B52" s="18" t="inlineStr">
        <is>
          <t>前台問題追蹤表(ORD)</t>
        </is>
      </c>
      <c r="C52" s="18" t="inlineStr">
        <is>
          <t>119</t>
        </is>
      </c>
      <c r="D52" s="18" t="inlineStr">
        <is>
          <t>檔案室</t>
        </is>
      </c>
      <c r="E52" s="18" t="inlineStr">
        <is>
          <t>FileArchive / 檔案資源</t>
        </is>
      </c>
      <c r="F52" s="18" t="inlineStr">
        <is>
          <t>後台增加連結欄位
參考師大心輔系</t>
        </is>
      </c>
      <c r="G52" s="18" t="inlineStr">
        <is>
          <t>檔案/媒體</t>
        </is>
      </c>
      <c r="H52" s="18" t="inlineStr">
        <is>
          <t>高</t>
        </is>
      </c>
      <c r="I52" s="18" t="inlineStr">
        <is>
          <t>M</t>
        </is>
      </c>
      <c r="J52" s="18" t="n">
        <v>4</v>
      </c>
      <c r="K52" s="18" t="inlineStr">
        <is>
          <t>已完成</t>
        </is>
      </c>
      <c r="L52" s="18" t="inlineStr">
        <is>
          <t>複驗通過</t>
        </is>
      </c>
      <c r="M52" s="18" t="inlineStr">
        <is>
          <t>2026-05-27</t>
        </is>
      </c>
      <c r="N52" s="18" t="inlineStr">
        <is>
          <t>src/Features/Pages/Server/BizFunc/WEB/FileArchive；src/Features/Pages/Client/B...</t>
        </is>
      </c>
      <c r="O52" s="18" t="n"/>
      <c r="P52" s="17" t="inlineStr">
        <is>
          <t>已依 GitHub main 複驗：FileArchive 後台表單已新增 FileArchiveUrlDetail 的 SubUrlComp，欄位包含 UrlDescription、Url、WindowTarget；前台 FileArchiveList 也會讀取目前語系的 urlRows 並渲染 link 按鈕。</t>
        </is>
      </c>
      <c r="Q52" s="17" t="inlineStr">
        <is>
          <t>2026-05-27</t>
        </is>
      </c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5" t="n">
        <v>53</v>
      </c>
      <c r="B53" s="15" t="inlineStr">
        <is>
          <t>前台問題追蹤表(ORD)</t>
        </is>
      </c>
      <c r="C53" s="15" t="inlineStr">
        <is>
          <t>139</t>
        </is>
      </c>
      <c r="D53" s="15" t="inlineStr">
        <is>
          <t>前台所有檔案室</t>
        </is>
      </c>
      <c r="E53" s="15" t="inlineStr">
        <is>
          <t>FileArchive / 檔案資源</t>
        </is>
      </c>
      <c r="F53" s="15" t="inlineStr">
        <is>
          <t>1/ 前台下載檔案後，數字未+1。
2/ PDF另開視窗，檔名未出現與列表相同檔名。
3/ 下載檔案後檔名未出現正確title。</t>
        </is>
      </c>
      <c r="G53" s="15" t="inlineStr">
        <is>
          <t>檔案/媒體</t>
        </is>
      </c>
      <c r="H53" s="15" t="inlineStr">
        <is>
          <t>高</t>
        </is>
      </c>
      <c r="I53" s="15" t="inlineStr">
        <is>
          <t>M</t>
        </is>
      </c>
      <c r="J53" s="15" t="n">
        <v>4</v>
      </c>
      <c r="K53" s="15" t="inlineStr">
        <is>
          <t>退回，未通過</t>
        </is>
      </c>
      <c r="L53" s="15" t="inlineStr">
        <is>
          <t>複驗未通過</t>
        </is>
      </c>
      <c r="M53" s="15" t="n"/>
      <c r="N53" s="15" t="inlineStr">
        <is>
          <t>src/Features/Pages/Server/BizFunc/WEB/FileArchive；src/Features/Pages/Client/B...</t>
        </is>
      </c>
      <c r="O53" s="15" t="n"/>
      <c r="P53" s="17" t="inlineStr">
        <is>
          <t>已依 GitHub main 複驗：FileArchiveList 目前會顯示 PublicDownloadCount 並產生下載/預覽連結，但未看到前台點擊下載時主動呼叫下載次數遞增 API；PDF 檔名/另開與列表一致性仍需修正或實機驗證。</t>
        </is>
      </c>
      <c r="Q53" s="17" t="inlineStr">
        <is>
          <t>2026-05-27</t>
        </is>
      </c>
      <c r="R53" s="17" t="inlineStr">
        <is>
          <t>不符合處：需求包含下載次數 +1、PDF 另開視窗、下載檔名正確 title，目前程式僅讀取並顯示 PublicDownloadCount，前台下載連結未見計數更新流程。影響範圍：FileArchive 前台列表、下載統計、PDF 預覽/下載體驗。對應檔案：src/Features/Pages/Client/BizFunc/WEB/FileArchive/FileArchiveList.tsx、FileArchiveList_Loader.ts。建議：點擊下載先呼叫後端計數 API 或改由下載 API 統一記錄；PDF 使用 preview 並 target blank；download filename/title 以 FileName 或列表標題一致化。涉及 API/UI/弱掃安全屬性。</t>
        </is>
      </c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8" t="n">
        <v>54</v>
      </c>
      <c r="B54" s="18" t="inlineStr">
        <is>
          <t>前台問題追蹤表(ORD)</t>
        </is>
      </c>
      <c r="C54" s="18" t="inlineStr">
        <is>
          <t>167</t>
        </is>
      </c>
      <c r="D54" s="18" t="inlineStr">
        <is>
          <t>公告/檔案室/網路資源</t>
        </is>
      </c>
      <c r="E54" s="18" t="inlineStr">
        <is>
          <t>Announcement</t>
        </is>
      </c>
      <c r="F54" s="18" t="inlineStr">
        <is>
          <t>wcms1816會用到的清單樣式</t>
        </is>
      </c>
      <c r="G54" s="18" t="inlineStr">
        <is>
          <t>檔案/媒體</t>
        </is>
      </c>
      <c r="H54" s="18" t="inlineStr">
        <is>
          <t>高</t>
        </is>
      </c>
      <c r="I54" s="18" t="inlineStr">
        <is>
          <t>M</t>
        </is>
      </c>
      <c r="J54" s="18" t="n">
        <v>4</v>
      </c>
      <c r="K54" s="18" t="inlineStr">
        <is>
          <t>已完成</t>
        </is>
      </c>
      <c r="L54" s="18" t="inlineStr">
        <is>
          <t>複驗通過</t>
        </is>
      </c>
      <c r="M54" s="18" t="inlineStr">
        <is>
          <t>2026-05-27</t>
        </is>
      </c>
      <c r="N54" s="18" t="inlineStr">
        <is>
          <t>src/Features/Pages/Server/BizFunc/WEB/Announcement；src/Features/Pages/Client/...</t>
        </is>
      </c>
      <c r="O54" s="18" t="inlineStr">
        <is>
          <t>問題關聯性：後台問題表#108</t>
        </is>
      </c>
      <c r="P54" s="26" t="inlineStr">
        <is>
          <t>已依本次 ZIP 複驗：Announcement、FileArchive、WebResource 前台列表皆已保留獨立 List 元件，並可透過 DataQueryTemplate / SlotResolver / 模組選項接清單樣式與 spec 擴充；1816 可用對應列表版型承接清單樣式。對應檔案：AnnouncementList.tsx、FileArchiveList.tsx、WebResourceList.tsx。</t>
        </is>
      </c>
      <c r="Q54" s="26" t="inlineStr">
        <is>
          <t>2026-05-27</t>
        </is>
      </c>
      <c r="R54" s="26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5" t="n">
        <v>55</v>
      </c>
      <c r="B55" s="15" t="inlineStr">
        <is>
          <t>前台問題追蹤表(ORD)</t>
        </is>
      </c>
      <c r="C55" s="15" t="inlineStr">
        <is>
          <t>169</t>
        </is>
      </c>
      <c r="D55" s="15" t="inlineStr">
        <is>
          <t>檔案室</t>
        </is>
      </c>
      <c r="E55" s="15" t="inlineStr">
        <is>
          <t>FileArchive / 檔案資源</t>
        </is>
      </c>
      <c r="F55" s="15" t="inlineStr">
        <is>
          <t>下載次數未統計</t>
        </is>
      </c>
      <c r="G55" s="15" t="inlineStr">
        <is>
          <t>檔案/媒體</t>
        </is>
      </c>
      <c r="H55" s="15" t="inlineStr">
        <is>
          <t>高</t>
        </is>
      </c>
      <c r="I55" s="15" t="inlineStr">
        <is>
          <t>M</t>
        </is>
      </c>
      <c r="J55" s="15" t="n">
        <v>4</v>
      </c>
      <c r="K55" s="15" t="inlineStr">
        <is>
          <t>退回，未通過</t>
        </is>
      </c>
      <c r="L55" s="15" t="inlineStr">
        <is>
          <t>複驗未通過</t>
        </is>
      </c>
      <c r="M55" s="15" t="n"/>
      <c r="N55" s="15" t="inlineStr">
        <is>
          <t>src/Features/Pages/Server/BizFunc/WEB/FileArchive；src/Features/Pages/Client/B...</t>
        </is>
      </c>
      <c r="O55" s="15" t="inlineStr">
        <is>
          <t>同#139</t>
        </is>
      </c>
      <c r="P55" s="17" t="inlineStr">
        <is>
          <t>同 #139：目前 FileArchiveList 只彙總並顯示 FileSrc.PublicDownloadCount，未看到前台下載事件與後端計數更新串接，因此下載次數未統計的問題不可視為完成。</t>
        </is>
      </c>
      <c r="Q55" s="17" t="inlineStr">
        <is>
          <t>2026-05-27</t>
        </is>
      </c>
      <c r="R55" s="17" t="inlineStr">
        <is>
          <t>不符合處：下載次數仍只在前台讀取顯示，缺少下載後 +1 的更新流程。影響範圍：FileArchive 下載統計與報表可信度。對應檔案：src/Features/Pages/Client/BizFunc/WEB/FileArchive/FileArchiveList.tsx、FileArchiveList_Loader.ts；後端需確認 FileManagement/FileArchive 下載 API 是否統一加計。建議：由下載 API 統一累計，前台不要自行改數字；下載完成後可 refetch 或樂觀更新。涉及 API/資料一致性。</t>
        </is>
      </c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8" t="n">
        <v>56</v>
      </c>
      <c r="B56" s="18" t="inlineStr">
        <is>
          <t>前台問題追蹤表(ORD)</t>
        </is>
      </c>
      <c r="C56" s="18" t="inlineStr">
        <is>
          <t>172</t>
        </is>
      </c>
      <c r="D56" s="18" t="inlineStr">
        <is>
          <t>前台內頁畫面</t>
        </is>
      </c>
      <c r="E56" s="18" t="inlineStr">
        <is>
          <t>共用 / 待判斷</t>
        </is>
      </c>
      <c r="F56" s="18" t="inlineStr">
        <is>
          <t>有時會出現錯誤，稍等一會就會好，需要在順暢一點</t>
        </is>
      </c>
      <c r="G56" s="18" t="inlineStr">
        <is>
          <t>功能/資料</t>
        </is>
      </c>
      <c r="H56" s="18" t="inlineStr">
        <is>
          <t>高</t>
        </is>
      </c>
      <c r="I56" s="18" t="inlineStr">
        <is>
          <t>M</t>
        </is>
      </c>
      <c r="J56" s="18" t="n">
        <v>4</v>
      </c>
      <c r="K56" s="18" t="inlineStr">
        <is>
          <t>退回，未通過</t>
        </is>
      </c>
      <c r="L56" s="18" t="inlineStr">
        <is>
          <t>複驗未通過</t>
        </is>
      </c>
      <c r="M56" s="18" t="n"/>
      <c r="N56" s="18" t="inlineStr">
        <is>
          <t>需依實際路由與功能檔案確認</t>
        </is>
      </c>
      <c r="O56" s="18" t="n"/>
      <c r="P56" s="17" t="inlineStr">
        <is>
          <t>已依 GitHub main 複驗：共用 LoadingErrorHandler 仍會在 loading 超過 200ms/500ms 後顯示「輕量載入中...」與「資料載入中...」，且 loading 時會直接 return loading 文案，原內容不保留；本項「前台內頁有時錯誤/稍等才好」仍有 UI/SSR 閃爍與使用體驗風險。</t>
        </is>
      </c>
      <c r="Q56" s="17" t="inlineStr">
        <is>
          <t>2026-05-27</t>
        </is>
      </c>
      <c r="R56" s="17" t="inlineStr">
        <is>
          <t>不符合處：前台內頁仍可能在資料重抓或 hydration/CSR 切換時被 LoadingErrorHandler 替換成 loading 或錯誤區塊，未達「更順暢」要求。影響範圍：所有使用 ModuleContent/LoadingErrorHandler 的前台清單與內頁，包括 Announcement、Gallery、WebResource、FileArchive。對應檔案：src/SysCore/Components/LoadingErrorHandler.tsx、src/Features/Pages/Client/Scaffold/SubPages/layouts/RightFrame/ModuleContent.tsx。建議：改成保留既有 SSR/上次內容，背景載入只顯示非阻塞狀態；錯誤改 toast 或區塊級提示，避免整頁替換。涉及 AA/SSR/CSR/UI。</t>
        </is>
      </c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5" t="n">
        <v>57</v>
      </c>
      <c r="B57" s="15" t="inlineStr">
        <is>
          <t>前台問題追蹤表(ORD)</t>
        </is>
      </c>
      <c r="C57" s="15" t="inlineStr">
        <is>
          <t>178</t>
        </is>
      </c>
      <c r="D57" s="15" t="inlineStr">
        <is>
          <t>文字編輯器</t>
        </is>
      </c>
      <c r="E57" s="15" t="inlineStr">
        <is>
          <t>PageManagement / TinyMCE</t>
        </is>
      </c>
      <c r="F57" s="15" t="inlineStr">
        <is>
          <t>1816圖書館編輯器的表格，內框顏色顯示不出來</t>
        </is>
      </c>
      <c r="G57" s="15" t="inlineStr">
        <is>
          <t>UI/樣式</t>
        </is>
      </c>
      <c r="H57" s="15" t="inlineStr">
        <is>
          <t>高</t>
        </is>
      </c>
      <c r="I57" s="15" t="inlineStr">
        <is>
          <t>M</t>
        </is>
      </c>
      <c r="J57" s="15" t="n">
        <v>4</v>
      </c>
      <c r="K57" s="15" t="inlineStr">
        <is>
          <t>待修</t>
        </is>
      </c>
      <c r="L57" s="15" t="inlineStr">
        <is>
          <t>未驗收</t>
        </is>
      </c>
      <c r="M57" s="15" t="n"/>
      <c r="N57" s="15" t="inlineStr">
        <is>
          <t>src/Features/Pages/Server/BizFunc/WEB/PageManagement；src/SysCore/Components/T...</t>
        </is>
      </c>
      <c r="O57" s="15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8" t="n">
        <v>58</v>
      </c>
      <c r="B58" s="18" t="inlineStr">
        <is>
          <t>專案ZIP對標補漏</t>
        </is>
      </c>
      <c r="C58" s="18" t="inlineStr">
        <is>
          <t>ZIP-002</t>
        </is>
      </c>
      <c r="D58" s="18" t="inlineStr">
        <is>
          <t>SSR/CSR 回歸檢查</t>
        </is>
      </c>
      <c r="E58" s="18" t="inlineStr">
        <is>
          <t>SSR / Hydration</t>
        </is>
      </c>
      <c r="F58" s="18" t="inlineStr">
        <is>
          <t>先前已修過 Entry-Client 重複渲染，但前台追蹤仍有偶發資料載入/空白/重整才正常問題，需做黃金流程回歸。</t>
        </is>
      </c>
      <c r="G58" s="18" t="inlineStr">
        <is>
          <t>SSR/渲染</t>
        </is>
      </c>
      <c r="H58" s="18" t="inlineStr">
        <is>
          <t>高</t>
        </is>
      </c>
      <c r="I58" s="18" t="inlineStr">
        <is>
          <t>M</t>
        </is>
      </c>
      <c r="J58" s="18" t="n">
        <v>4</v>
      </c>
      <c r="K58" s="18" t="inlineStr">
        <is>
          <t>部分複驗，待實機確認</t>
        </is>
      </c>
      <c r="L58" s="18" t="inlineStr">
        <is>
          <t>部分複驗，待實機確認</t>
        </is>
      </c>
      <c r="M58" s="18" t="n"/>
      <c r="N58" s="18" t="inlineStr">
        <is>
          <t>src/SSR/Entry-Client.tsx；src/SSR/Entry-Server.tsx；SSR-Server.ts</t>
        </is>
      </c>
      <c r="O58" s="18" t="n"/>
      <c r="P58" s="26" t="inlineStr">
        <is>
          <t>第十九批依本次完整 ZIP 重新複驗：Entry-Client.tsx 已將 initial state 放在 template 讀取，並在缺 hydrationData 時清掉 SSR DOM 後改 CSR render；SSR-Server.ts 也以 template 注入 initialState 並移除 staticRouterHydrationData inline script，方向符合 CSP/弱掃與 hydration 修正。惟 SSR/CSR/Freego 黃金流程需實際跑首屏 SSR、CSR 切頁、語系切換、上一頁返回、Freego 掃描與 Console/Network 檢查。涉及 SSR、CSR、AA、弱掃、Console；維持部分複驗。</t>
        </is>
      </c>
      <c r="Q58" s="26" t="inlineStr">
        <is>
          <t>2026-05-27</t>
        </is>
      </c>
      <c r="R58" s="26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5" t="n">
        <v>59</v>
      </c>
      <c r="B59" s="15" t="inlineStr">
        <is>
          <t>專案ZIP對標補漏</t>
        </is>
      </c>
      <c r="C59" s="15" t="inlineStr">
        <is>
          <t>ZIP-004</t>
        </is>
      </c>
      <c r="D59" s="15" t="inlineStr">
        <is>
          <t>Spec Header 行為一致化</t>
        </is>
      </c>
      <c r="E59" s="15" t="inlineStr">
        <is>
          <t>Header / Menu</t>
        </is>
      </c>
      <c r="F59" s="15" t="inlineStr">
        <is>
          <t>1816/1817/1820 都有 Header 客製，需確認 Enter/Click 關閉、hover 展開、focus 樣式、動畫收合都一致。</t>
        </is>
      </c>
      <c r="G59" s="15" t="inlineStr">
        <is>
          <t>AA/UI</t>
        </is>
      </c>
      <c r="H59" s="15" t="inlineStr">
        <is>
          <t>高</t>
        </is>
      </c>
      <c r="I59" s="15" t="inlineStr">
        <is>
          <t>M</t>
        </is>
      </c>
      <c r="J59" s="15" t="n">
        <v>4</v>
      </c>
      <c r="K59" s="15" t="inlineStr">
        <is>
          <t>待修</t>
        </is>
      </c>
      <c r="L59" s="15" t="inlineStr">
        <is>
          <t>未驗收</t>
        </is>
      </c>
      <c r="M59" s="15" t="n"/>
      <c r="N59" s="15" t="inlineStr">
        <is>
          <t>src/SpecFetures/*/Pages/Client/Scaffold/MainFrame/Header.tsx</t>
        </is>
      </c>
      <c r="O59" s="15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8" t="n">
        <v>62</v>
      </c>
      <c r="B60" s="18" t="inlineStr">
        <is>
          <t>前台問題追蹤表(ORD)</t>
        </is>
      </c>
      <c r="C60" s="18" t="inlineStr">
        <is>
          <t>1</t>
        </is>
      </c>
      <c r="D60" s="18" t="inlineStr">
        <is>
          <t>首頁+內頁</t>
        </is>
      </c>
      <c r="E60" s="18" t="inlineStr">
        <is>
          <t>AA / Accessibility</t>
        </is>
      </c>
      <c r="F60" s="18" t="inlineStr">
        <is>
          <t>無障礙 AA 
1. tabindex
2. foucs- css調整</t>
        </is>
      </c>
      <c r="G60" s="18" t="inlineStr">
        <is>
          <t>AA</t>
        </is>
      </c>
      <c r="H60" s="18" t="inlineStr">
        <is>
          <t>高</t>
        </is>
      </c>
      <c r="I60" s="18" t="inlineStr">
        <is>
          <t>M</t>
        </is>
      </c>
      <c r="J60" s="18" t="n">
        <v>4</v>
      </c>
      <c r="K60" s="18" t="inlineStr">
        <is>
          <t>退回，未通過</t>
        </is>
      </c>
      <c r="L60" s="18" t="inlineStr">
        <is>
          <t>複驗未通過</t>
        </is>
      </c>
      <c r="M60" s="18" t="n"/>
      <c r="N60" s="18" t="inlineStr">
        <is>
          <t>src/SysCore/Utils/Library/LibAAData.ts；AAInputField</t>
        </is>
      </c>
      <c r="O60" s="18" t="inlineStr">
        <is>
          <t>開發中</t>
        </is>
      </c>
      <c r="P60" s="17" t="inlineStr">
        <is>
          <t>已依 GitHub main 抽查：仍存在多處 tabIndex={1}，例如 1810 Header、BannerSlider、SpecUSR_Form、AnnouncementForm 等；無法視為 AA tabindex/focus 已全數完成。</t>
        </is>
      </c>
      <c r="Q60" s="17" t="inlineStr">
        <is>
          <t>2026-05-27</t>
        </is>
      </c>
      <c r="R60" s="17" t="inlineStr">
        <is>
          <t>不符合處：前台仍有多處正 tabindex 值，會干擾自然鍵盤順序。影響範圍：1810 前台 Header/Banner/表單/公告等 AA 操作。對應檔案：src/SpecFetures/1810/Pages/Client/Scaffold/MainFrame/Header.tsx、BannerSlider.tsx、SpecUSR_Form_Comp.tsx、AnnouncementForm.tsx。建議：除必要元件外移除正 tabindex，改用自然 DOM 順序與 :focus-visible 樣式。涉及 AA。</t>
        </is>
      </c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5" t="n">
        <v>63</v>
      </c>
      <c r="B61" s="15" t="inlineStr">
        <is>
          <t>前台問題追蹤表(ORD)</t>
        </is>
      </c>
      <c r="C61" s="15" t="inlineStr">
        <is>
          <t>10</t>
        </is>
      </c>
      <c r="D61" s="15" t="inlineStr">
        <is>
          <t>Announcement</t>
        </is>
      </c>
      <c r="E61" s="15" t="inlineStr">
        <is>
          <t>Announcement</t>
        </is>
      </c>
      <c r="F61" s="15" t="inlineStr">
        <is>
          <t>載入公告不能有等待畫面"資料載入"</t>
        </is>
      </c>
      <c r="G61" s="15" t="inlineStr">
        <is>
          <t>AA</t>
        </is>
      </c>
      <c r="H61" s="15" t="inlineStr">
        <is>
          <t>高</t>
        </is>
      </c>
      <c r="I61" s="15" t="inlineStr">
        <is>
          <t>M</t>
        </is>
      </c>
      <c r="J61" s="15" t="n">
        <v>4</v>
      </c>
      <c r="K61" s="15" t="inlineStr">
        <is>
          <t>退回，未通過</t>
        </is>
      </c>
      <c r="L61" s="15" t="inlineStr">
        <is>
          <t>複驗未通過</t>
        </is>
      </c>
      <c r="M61" s="15" t="n"/>
      <c r="N61" s="15" t="inlineStr">
        <is>
          <t>src/Features/Pages/Server/BizFunc/WEB/Announcement；src/Features/Pages/Client/...</t>
        </is>
      </c>
      <c r="O61" s="15" t="n"/>
      <c r="P61" s="17" t="inlineStr">
        <is>
          <t>已依 GitHub main 複驗：ModuleContent 仍統一包 LoadingErrorHandler，而 LoadingErrorHandler 在 loading 超過 500ms 時會顯示「📦 資料載入中...」，與本項「載入公告不能有等待畫面資料載入」不一致。</t>
        </is>
      </c>
      <c r="Q61" s="17" t="inlineStr">
        <is>
          <t>2026-05-27</t>
        </is>
      </c>
      <c r="R61" s="17" t="inlineStr">
        <is>
          <t>不符合處：前台仍可能顯示「資料載入中...」。影響範圍：Announcement 與所有使用 ModuleContent/LoadingErrorHandler 的前台清單或內頁；AA 檢測可能看到非預期 loading 文案，SSR/CSR 切換時也可能出現閃爍。對應檔案：src/SysCore/Components/LoadingErrorHandler.tsx、src/Features/Pages/Client/Scaffold/SubPages/layouts/RightFrame/ModuleContent.tsx。建議：改成保留 SSR 初始內容、背景更新不替換整頁；或依功能參數關閉文字型 loading。涉及 AA/SSR/UI。</t>
        </is>
      </c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8" t="n">
        <v>64</v>
      </c>
      <c r="B62" s="18" t="inlineStr">
        <is>
          <t>前台問題追蹤表(ORD)</t>
        </is>
      </c>
      <c r="C62" s="18" t="inlineStr">
        <is>
          <t>146</t>
        </is>
      </c>
      <c r="D62" s="18" t="inlineStr">
        <is>
          <t>正式站公告</t>
        </is>
      </c>
      <c r="E62" s="18" t="inlineStr">
        <is>
          <t>Announcement</t>
        </is>
      </c>
      <c r="F62" s="18" t="inlineStr">
        <is>
          <t>任一公告點選滑鼠右鍵【另存圖片】，下載後的圖片格式有誤（非PNG、JPG），無法正常開啟</t>
        </is>
      </c>
      <c r="G62" s="18" t="inlineStr">
        <is>
          <t>檔案/媒體</t>
        </is>
      </c>
      <c r="H62" s="18" t="inlineStr">
        <is>
          <t>高</t>
        </is>
      </c>
      <c r="I62" s="18" t="inlineStr">
        <is>
          <t>M</t>
        </is>
      </c>
      <c r="J62" s="18" t="n">
        <v>4</v>
      </c>
      <c r="K62" s="18" t="inlineStr">
        <is>
          <t>退回，未通過</t>
        </is>
      </c>
      <c r="L62" s="18" t="inlineStr">
        <is>
          <t>複驗未通過</t>
        </is>
      </c>
      <c r="M62" s="18" t="n"/>
      <c r="N62" s="18" t="n"/>
      <c r="O62" s="18" t="n"/>
      <c r="P62" s="17" t="inlineStr">
        <is>
          <t>已依 GitHub main 複驗：AnnouncementForm 內文圖片透過 CmsHtml_Comp 渲染，CmsHtml 會把 data-internalid 的 img 轉成 Public_Preview；但 AnnouncementForm 未提供 fileMetaMap，圖片 src 可能只有 internalId，右鍵另存仍可能缺原始檔名/副檔名，無法證明已解決 PNG/JPG 格式問題。</t>
        </is>
      </c>
      <c r="Q62" s="17" t="inlineStr">
        <is>
          <t>2026-05-27</t>
        </is>
      </c>
      <c r="R62" s="17" t="inlineStr">
        <is>
          <t>不符合處：公告內文圖片另存時仍可能無正確檔名與副檔名。影響範圍：正式站公告內文圖片、使用者右鍵另存圖片、AA 圖片下載體驗。對應檔案：src/Features/Pages/Client/BizFunc/WEB/Announcement/AnnouncementForm.tsx、src/SysCore/Components/CmsHtml/CmsHtml_Transform.ts、src/SysCore/Utils/API/APIClient.ts。建議：AnnouncementForm 需把內文圖片相關 fileMetaMap 傳給 CmsHtml_Comp，或後端 Public_Preview 回應 Content-Disposition/Content-Type 與檔名；若是圖片下載需求，需改用 Public_Download 並帶原始 FileName。涉及 UI/檔案 API/弱掃安全標頭。</t>
        </is>
      </c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5" t="n">
        <v>65</v>
      </c>
      <c r="B63" s="15" t="inlineStr">
        <is>
          <t>前台問題追蹤表(ORD)</t>
        </is>
      </c>
      <c r="C63" s="15" t="inlineStr">
        <is>
          <t>147</t>
        </is>
      </c>
      <c r="D63" s="15" t="inlineStr">
        <is>
          <t>正式站相簿</t>
        </is>
      </c>
      <c r="E63" s="15" t="inlineStr">
        <is>
          <t>Gallery</t>
        </is>
      </c>
      <c r="F63" s="15" t="inlineStr">
        <is>
          <t>任一相簿點選相片的【下載】後圖片格式有誤（非PNG、JPG），無法正常開啟</t>
        </is>
      </c>
      <c r="G63" s="15" t="inlineStr">
        <is>
          <t>檔案/媒體</t>
        </is>
      </c>
      <c r="H63" s="15" t="inlineStr">
        <is>
          <t>高</t>
        </is>
      </c>
      <c r="I63" s="15" t="inlineStr">
        <is>
          <t>M</t>
        </is>
      </c>
      <c r="J63" s="15" t="n">
        <v>4</v>
      </c>
      <c r="K63" s="15" t="inlineStr">
        <is>
          <t>退回，未通過</t>
        </is>
      </c>
      <c r="L63" s="15" t="inlineStr">
        <is>
          <t>複驗未通過</t>
        </is>
      </c>
      <c r="M63" s="15" t="n"/>
      <c r="N63" s="15" t="n"/>
      <c r="O63" s="15" t="n"/>
      <c r="P63" s="17" t="inlineStr">
        <is>
          <t>已依 GitHub main 複驗：GalleryForm 的 buildGallerySlide 將 src 與 download 都設為 FileManagementAPI.get_Public_Preview_Url(item.PicSrcId)，未使用 Public_Download，也未帶原始 FileName；下載格式/副檔名仍有風險。</t>
        </is>
      </c>
      <c r="Q63" s="17" t="inlineStr">
        <is>
          <t>2026-05-27</t>
        </is>
      </c>
      <c r="R63" s="17" t="inlineStr">
        <is>
          <t>不符合處：相簿 lightbox 下載仍使用預覽 URL，未帶原始檔名/副檔名。影響範圍：正式站相簿下載圖片，可能下載後非 PNG/JPG 或檔名格式不正確。對應檔案：src/Features/Pages/Client/BizFunc/WEB/Gallery/GalleryForm_Comp.tsx、src/SysCore/Components/FormField/FieldComponets/LibLightBox_Comp.tsx、src/SysCore/Utils/API/APIClient.ts。建議：slide.download 改用 get_Public_Download_Url(item.PicSrcId, 原始檔名)，並確認後端回應 Content-Type 與 Content-Disposition；若沒有原始檔名，需在 GalleryPhotos 或 FileManage 關聯欄位補回。涉及 UI/檔案 API/下載格式。</t>
        </is>
      </c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8" t="n">
        <v>66</v>
      </c>
      <c r="B64" s="18" t="inlineStr">
        <is>
          <t>前台問題追蹤表(ORD)</t>
        </is>
      </c>
      <c r="C64" s="18" t="inlineStr">
        <is>
          <t>151</t>
        </is>
      </c>
      <c r="D64" s="18" t="inlineStr">
        <is>
          <t>正式站前後台的檔案室顯示條件依據</t>
        </is>
      </c>
      <c r="E64" s="18" t="inlineStr">
        <is>
          <t>FileArchive / 檔案資源</t>
        </is>
      </c>
      <c r="F64" s="18" t="inlineStr">
        <is>
          <t>狀態＞排序（大到小）＞新增建立時間（新到舊），編輯修改時間不採用。</t>
        </is>
      </c>
      <c r="G64" s="18" t="inlineStr">
        <is>
          <t>排序/狀態</t>
        </is>
      </c>
      <c r="H64" s="18" t="inlineStr">
        <is>
          <t>高</t>
        </is>
      </c>
      <c r="I64" s="18" t="inlineStr">
        <is>
          <t>M</t>
        </is>
      </c>
      <c r="J64" s="18" t="n">
        <v>4</v>
      </c>
      <c r="K64" s="18" t="inlineStr">
        <is>
          <t>退回，未通過</t>
        </is>
      </c>
      <c r="L64" s="18" t="inlineStr">
        <is>
          <t>複驗未通過</t>
        </is>
      </c>
      <c r="M64" s="18" t="n"/>
      <c r="N64" s="18" t="inlineStr">
        <is>
          <t>src/Features/Pages/Server/BizFunc/WEB/FileArchive；src/Features/Pages/Client/B...</t>
        </is>
      </c>
      <c r="O64" s="18" t="inlineStr">
        <is>
          <t>已完成可測試</t>
        </is>
      </c>
      <c r="P64" s="17" t="inlineStr">
        <is>
          <t>已依 GitHub main 複驗：FileArchiveList_Loader 目前有 ContentStatus 置頂 RankGroups，但 OrderBy 只有 CreateTime desc，未看到排序欄位 Sort 大到小。</t>
        </is>
      </c>
      <c r="Q64" s="17" t="inlineStr">
        <is>
          <t>2026-05-27</t>
        </is>
      </c>
      <c r="R64" s="17" t="inlineStr">
        <is>
          <t>不符合處：FileArchive 顯示條件尚未完整符合「狀態＞排序（大到小）＞新增建立時間」；目前缺少 Sort 排序。影響範圍：檔案室前台列表順序與後台設定一致性。對應檔案：src/Features/Pages/Client/BizFunc/WEB/FileArchive/FileArchiveList_Loader.ts。建議：補 Sort 欄位與 OrderBy Sort desc、CreateTime desc；若沒有排序欄位，需先補資料模型/API。涉及 UI/資料排序/API。</t>
        </is>
      </c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5" t="n">
        <v>67</v>
      </c>
      <c r="B65" s="15" t="inlineStr">
        <is>
          <t>前台問題追蹤表(ORD)</t>
        </is>
      </c>
      <c r="C65" s="15" t="inlineStr">
        <is>
          <t>166</t>
        </is>
      </c>
      <c r="D65" s="15" t="inlineStr">
        <is>
          <t>檔案室/搜尋框</t>
        </is>
      </c>
      <c r="E65" s="15" t="inlineStr">
        <is>
          <t>FileArchive / 檔案資源</t>
        </is>
      </c>
      <c r="F65" s="15" t="inlineStr">
        <is>
          <t>老師反映搜尋功能在靈敏一點，
例如：打關鍵字想要找"彈薪"應該會出現1筆，但不會跳出~~</t>
        </is>
      </c>
      <c r="G65" s="15" t="inlineStr">
        <is>
          <t>搜尋</t>
        </is>
      </c>
      <c r="H65" s="15" t="inlineStr">
        <is>
          <t>高</t>
        </is>
      </c>
      <c r="I65" s="15" t="inlineStr">
        <is>
          <t>M</t>
        </is>
      </c>
      <c r="J65" s="15" t="n">
        <v>4</v>
      </c>
      <c r="K65" s="15" t="inlineStr">
        <is>
          <t>退回，未通過</t>
        </is>
      </c>
      <c r="L65" s="15" t="inlineStr">
        <is>
          <t>複驗未通過</t>
        </is>
      </c>
      <c r="M65" s="15" t="n"/>
      <c r="N65" s="15" t="n"/>
      <c r="O65" s="15" t="n"/>
      <c r="P65" s="17" t="inlineStr">
        <is>
          <t>已依 GitHub main 複驗：FileArchiveList_Loader 的搜尋條件目前只針對 FileArchiveInfo.Title 做 Like；未看到針對檔名、附件說明、連結說明、標籤或同義詞的擴充搜尋，因此「彈薪」搜尋靈敏度需求未完成。</t>
        </is>
      </c>
      <c r="Q65" s="17" t="inlineStr">
        <is>
          <t>2026-05-27</t>
        </is>
      </c>
      <c r="R65" s="17" t="inlineStr">
        <is>
          <t>不符合處：檔案室搜尋仍只查標題欄位，搜尋靈敏度不足。影響範圍：FileArchive 前台搜尋框，使用者輸入關鍵字可能找不到檔案內容、檔名或說明。對應檔案：src/Features/Pages/Client/BizFunc/WEB/FileArchive/FileArchiveList_Loader.ts。建議：搜尋條件擴充為 Title/FileName/UrlDescription/TagName 等欄位 OR Like；必要時後端提供全文索引或關鍵字正規化，避免只靠前端組字串。涉及 API/搜尋/SSR 首屏一致性。</t>
        </is>
      </c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8" t="n">
        <v>68</v>
      </c>
      <c r="B66" s="18" t="inlineStr">
        <is>
          <t>專案ZIP對標補漏</t>
        </is>
      </c>
      <c r="C66" s="18" t="inlineStr">
        <is>
          <t>ZIP-005</t>
        </is>
      </c>
      <c r="D66" s="18" t="inlineStr">
        <is>
          <t>TinyMCE + CSP 回歸</t>
        </is>
      </c>
      <c r="E66" s="18" t="inlineStr">
        <is>
          <t>TinyMCE / CSP</t>
        </is>
      </c>
      <c r="F66" s="18" t="inlineStr">
        <is>
          <t>TinyMCE 自架、CSP、弱掃曾反覆調整，需將圖片/檔案/iframe/PDF/表格樣式等測項形成固定驗收。</t>
        </is>
      </c>
      <c r="G66" s="18" t="inlineStr">
        <is>
          <t>資安/弱掃</t>
        </is>
      </c>
      <c r="H66" s="18" t="inlineStr">
        <is>
          <t>高</t>
        </is>
      </c>
      <c r="I66" s="18" t="inlineStr">
        <is>
          <t>L</t>
        </is>
      </c>
      <c r="J66" s="18" t="n">
        <v>6</v>
      </c>
      <c r="K66" s="18" t="inlineStr">
        <is>
          <t>待修</t>
        </is>
      </c>
      <c r="L66" s="18" t="inlineStr">
        <is>
          <t>未驗收</t>
        </is>
      </c>
      <c r="M66" s="18" t="n"/>
      <c r="N66" s="18" t="inlineStr">
        <is>
          <t>public/tinymce；src/SysCore/Components/TinyMCE；src/SSR/CSPSetting.ts</t>
        </is>
      </c>
      <c r="O66" s="18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5" t="n">
        <v>69</v>
      </c>
      <c r="B67" s="15" t="inlineStr">
        <is>
          <t>專案ZIP對標補漏</t>
        </is>
      </c>
      <c r="C67" s="15" t="inlineStr">
        <is>
          <t>ZIP-001</t>
        </is>
      </c>
      <c r="D67" s="15" t="inlineStr">
        <is>
          <t>前台 List 資料流收斂</t>
        </is>
      </c>
      <c r="E67" s="15" t="inlineStr">
        <is>
          <t>Client_DataQueryTemplate</t>
        </is>
      </c>
      <c r="F67" s="15" t="inlineStr">
        <is>
          <t>目前仍掃到 19 處 useXXXListFetchData 類型呼叫，需逐步改回 Client_DataQueryTemplate_Hook，避免前台資...</t>
        </is>
      </c>
      <c r="G67" s="15" t="inlineStr">
        <is>
          <t>架構收斂</t>
        </is>
      </c>
      <c r="H67" s="15" t="inlineStr">
        <is>
          <t>高</t>
        </is>
      </c>
      <c r="I67" s="15" t="inlineStr">
        <is>
          <t>L</t>
        </is>
      </c>
      <c r="J67" s="15" t="n">
        <v>8</v>
      </c>
      <c r="K67" s="15" t="inlineStr">
        <is>
          <t>待修</t>
        </is>
      </c>
      <c r="L67" s="15" t="inlineStr">
        <is>
          <t>未驗收</t>
        </is>
      </c>
      <c r="M67" s="15" t="n"/>
      <c r="N67" s="15" t="inlineStr">
        <is>
          <t>Client_DataQueryTemplate_Hook.ts；多個 Client/Spec List_Loader</t>
        </is>
      </c>
      <c r="O67" s="15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8" t="n">
        <v>70</v>
      </c>
      <c r="B68" s="18" t="inlineStr">
        <is>
          <t>專案ZIP對標補漏</t>
        </is>
      </c>
      <c r="C68" s="18" t="inlineStr">
        <is>
          <t>ZIP-003</t>
        </is>
      </c>
      <c r="D68" s="18" t="inlineStr">
        <is>
          <t>AA 共用元件收斂</t>
        </is>
      </c>
      <c r="E68" s="18" t="inlineStr">
        <is>
          <t>AA / Accessibility</t>
        </is>
      </c>
      <c r="F68" s="18" t="inlineStr">
        <is>
          <t>AAInputField 與 EditGrid 已存在，但需確認全部常用欄位、focus、alt、鍵盤操作與 Freego 檢測需求是否能覆蓋。</t>
        </is>
      </c>
      <c r="G68" s="18" t="inlineStr">
        <is>
          <t>AA</t>
        </is>
      </c>
      <c r="H68" s="18" t="inlineStr">
        <is>
          <t>高</t>
        </is>
      </c>
      <c r="I68" s="18" t="inlineStr">
        <is>
          <t>L</t>
        </is>
      </c>
      <c r="J68" s="18" t="n">
        <v>8</v>
      </c>
      <c r="K68" s="18" t="inlineStr">
        <is>
          <t>待修</t>
        </is>
      </c>
      <c r="L68" s="18" t="inlineStr">
        <is>
          <t>未驗收</t>
        </is>
      </c>
      <c r="M68" s="18" t="n"/>
      <c r="N68" s="18" t="inlineStr">
        <is>
          <t>AAInputField__Atoms；EditGrid；LibAAData.ts</t>
        </is>
      </c>
      <c r="O68" s="18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5" t="n">
        <v>80</v>
      </c>
      <c r="B69" s="15" t="inlineStr">
        <is>
          <t>前台問題追蹤表(ORD)</t>
        </is>
      </c>
      <c r="C69" s="15" t="inlineStr">
        <is>
          <t>161</t>
        </is>
      </c>
      <c r="D69" s="15" t="inlineStr">
        <is>
          <t>USR計畫/研究亮點</t>
        </is>
      </c>
      <c r="E69" s="15" t="inlineStr">
        <is>
          <t>FileArchive / 檔案資源</t>
        </is>
      </c>
      <c r="F69" s="15" t="inlineStr">
        <is>
          <t>名稱：研究亮點
內頁欄位排序和調整內容：
1.年度：
2.計畫名稱： 
3.計畫主持人：(3-6為一組並依此排序，主要呈現3，如沒有3就秀4或5或6來呈現...</t>
        </is>
      </c>
      <c r="G69" s="15" t="inlineStr">
        <is>
          <t>排序/狀態</t>
        </is>
      </c>
      <c r="H69" s="15" t="inlineStr">
        <is>
          <t>高</t>
        </is>
      </c>
      <c r="I69" s="15" t="inlineStr">
        <is>
          <t>XL</t>
        </is>
      </c>
      <c r="J69" s="15" t="n">
        <v>16</v>
      </c>
      <c r="K69" s="15" t="inlineStr">
        <is>
          <t>退回，未通過</t>
        </is>
      </c>
      <c r="L69" s="15" t="inlineStr">
        <is>
          <t>複驗未通過</t>
        </is>
      </c>
      <c r="M69" s="15" t="n"/>
      <c r="N69" s="15" t="n"/>
      <c r="O69" s="15" t="n"/>
      <c r="P69" s="17" t="inlineStr">
        <is>
          <t>已依 GitHub main 複驗：1810 SpecUSR 內頁欄位 allCols 目前順序為 Year、AcademicYear、Courses、ProjectName、ProjectLeader...，與需求「年度、計畫名稱、計畫主持人群組...」不一致；若此筆實際對應研究亮點 FileArchive，則目前對標檔案也需要重新拆單確認。</t>
        </is>
      </c>
      <c r="Q69" s="17" t="inlineStr">
        <is>
          <t>2026-05-27</t>
        </is>
      </c>
      <c r="R69" s="17" t="inlineStr">
        <is>
          <t>不符合處：研究亮點/USR 內頁欄位排序未符合指定順序，且需求對應模組標示 FileArchive 但實際欄位語意較像 SpecUSR/SpecResearch，範圍不清。影響範圍：1810 研究亮點、USR 計畫內頁欄位顯示順序與客戶驗收。對應檔案：src/SpecFetures/1810/Pages/Client/BizFunc/WEB/SpecUSR/SpecUSR_Form_Comp.tsx；若是 FileArchive，需另查 FileArchive 模型。建議：先確認本項對應 ProgId，再依類別/版型建立欄位排序設定；主持人群組需做 fallback 規則（3 無值顯示 4/5/6）。涉及 UI/資料規則/TypeScript。</t>
        </is>
      </c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8" t="n">
        <v>81</v>
      </c>
      <c r="B70" s="18" t="inlineStr">
        <is>
          <t>前台問題追蹤表(ORD)</t>
        </is>
      </c>
      <c r="C70" s="18" t="inlineStr">
        <is>
          <t>13</t>
        </is>
      </c>
      <c r="D70" s="18" t="inlineStr">
        <is>
          <t>首頁/Banner</t>
        </is>
      </c>
      <c r="E70" s="18" t="inlineStr">
        <is>
          <t>Banner</t>
        </is>
      </c>
      <c r="F70" s="18" t="inlineStr">
        <is>
          <t>Banner按鈕沒有作用</t>
        </is>
      </c>
      <c r="G70" s="18" t="inlineStr">
        <is>
          <t>功能/資料</t>
        </is>
      </c>
      <c r="H70" s="18" t="inlineStr">
        <is>
          <t>中</t>
        </is>
      </c>
      <c r="I70" s="18" t="inlineStr">
        <is>
          <t>S</t>
        </is>
      </c>
      <c r="J70" s="18" t="n">
        <v>1</v>
      </c>
      <c r="K70" s="18" t="inlineStr">
        <is>
          <t>已完成</t>
        </is>
      </c>
      <c r="L70" s="18" t="inlineStr">
        <is>
          <t>複驗通過（程式碼層）</t>
        </is>
      </c>
      <c r="M70" s="18" t="inlineStr">
        <is>
          <t>2026-05-27</t>
        </is>
      </c>
      <c r="N70" s="18" t="inlineStr">
        <is>
          <t>src/Features/Pages/Server/BizFunc/WEB/Banner；src/Features/WEB/Banner</t>
        </is>
      </c>
      <c r="O70" s="18" t="inlineStr">
        <is>
          <t>一樣無作用</t>
        </is>
      </c>
      <c r="P70" s="17" t="inlineStr">
        <is>
          <t>已依 GitHub main 複驗：1810 BannerSlider 的上一張/下一張控制保留 data-bs-slide，播放/暫停按鈕也有 onClick 呼叫 handleCarouselControl，並透過 Bootstrap Carousel instance 執行 cycle/pause。需實機確認 Bootstrap JS 載入。</t>
        </is>
      </c>
      <c r="Q70" s="17" t="inlineStr">
        <is>
          <t>2026-05-27</t>
        </is>
      </c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5" t="n">
        <v>82</v>
      </c>
      <c r="B71" s="15" t="inlineStr">
        <is>
          <t>前台問題追蹤表(ORD)</t>
        </is>
      </c>
      <c r="C71" s="15" t="inlineStr">
        <is>
          <t>36</t>
        </is>
      </c>
      <c r="D71" s="15" t="inlineStr">
        <is>
          <t>首頁/校務發展/校務評鑑/106年度第二週期校務評鑑、112年度第三週期校務評鑑</t>
        </is>
      </c>
      <c r="E71" s="15" t="inlineStr">
        <is>
          <t>共用 / 待判斷</t>
        </is>
      </c>
      <c r="F71" s="15" t="inlineStr">
        <is>
          <t>點連結到外網時，會先跳出帶網址的畫面，然後再跳去外網
改成關閉此等待畫面</t>
        </is>
      </c>
      <c r="G71" s="15" t="inlineStr">
        <is>
          <t>功能/資料</t>
        </is>
      </c>
      <c r="H71" s="15" t="inlineStr">
        <is>
          <t>中</t>
        </is>
      </c>
      <c r="I71" s="15" t="inlineStr">
        <is>
          <t>S</t>
        </is>
      </c>
      <c r="J71" s="15" t="n">
        <v>1</v>
      </c>
      <c r="K71" s="15" t="inlineStr">
        <is>
          <t>已完成</t>
        </is>
      </c>
      <c r="L71" s="15" t="inlineStr">
        <is>
          <t>複驗通過（Menu 連結）</t>
        </is>
      </c>
      <c r="M71" s="15" t="inlineStr">
        <is>
          <t>2026-05-27</t>
        </is>
      </c>
      <c r="N71" s="15" t="inlineStr">
        <is>
          <t>需依實際路由與功能檔案確認</t>
        </is>
      </c>
      <c r="O71" s="15" t="inlineStr">
        <is>
          <t>需做一個"正在跳轉中"的提示訊息
後續才可記錄每個Link使用次數
若有需求後續也可做直接轉移</t>
        </is>
      </c>
      <c r="P71" s="17" t="inlineStr">
        <is>
          <t>同 #128：GitHub main 的 buildMenuItems 會將 redirect-external 直接輸出為外部 LangLink，http(s) 外連預設另開；正常 Menu 點擊不會再先顯示帶網址的內站等待畫面。直接輸入舊 route path 仍可能走 Site-Routing fallback，屬非一般點擊流程。</t>
        </is>
      </c>
      <c r="Q71" s="17" t="inlineStr">
        <is>
          <t>2026-05-27</t>
        </is>
      </c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8" t="n">
        <v>86</v>
      </c>
      <c r="B72" s="18" t="inlineStr">
        <is>
          <t>前台問題追蹤表(ORD)</t>
        </is>
      </c>
      <c r="C72" s="18" t="inlineStr">
        <is>
          <t>38</t>
        </is>
      </c>
      <c r="D72" s="18" t="inlineStr">
        <is>
          <t>內頁左側Menu</t>
        </is>
      </c>
      <c r="E72" s="18" t="inlineStr">
        <is>
          <t>SiteMenu / Header</t>
        </is>
      </c>
      <c r="F72" s="18" t="inlineStr">
        <is>
          <t>內頁的左側Menu點到第幾層時，顏色停留在點選的位置，不要縮起來</t>
        </is>
      </c>
      <c r="G72" s="18" t="inlineStr">
        <is>
          <t>功能/資料</t>
        </is>
      </c>
      <c r="H72" s="18" t="inlineStr">
        <is>
          <t>中</t>
        </is>
      </c>
      <c r="I72" s="18" t="inlineStr">
        <is>
          <t>M</t>
        </is>
      </c>
      <c r="J72" s="18" t="n">
        <v>1.5</v>
      </c>
      <c r="K72" s="18" t="inlineStr">
        <is>
          <t>已完成</t>
        </is>
      </c>
      <c r="L72" s="18" t="inlineStr">
        <is>
          <t>複驗通過（程式碼層）</t>
        </is>
      </c>
      <c r="M72" s="18" t="inlineStr">
        <is>
          <t>2026-05-27</t>
        </is>
      </c>
      <c r="N72" s="18" t="inlineStr">
        <is>
          <t>src/Features/Pages/Server/BizFunc/WEB/SiteMenu；src/SpecFetures/*/Pages/Client...</t>
        </is>
      </c>
      <c r="O72" s="18" t="inlineStr">
        <is>
          <t>開發中</t>
        </is>
      </c>
      <c r="P72" s="17" t="inlineStr">
        <is>
          <t>已依 GitHub main 複驗：SubMenu_Comp 會依目前 pathname 計算 activeIds 與 expandedIdsByPath，路由切換時 merge 展開狀態，並以 active/aria-current 標示目前 leaf；1816 也有專用互斥展開處理。仍建議實機確認 CSS 顏色。</t>
        </is>
      </c>
      <c r="Q72" s="17" t="inlineStr">
        <is>
          <t>2026-05-27</t>
        </is>
      </c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5" t="n">
        <v>87</v>
      </c>
      <c r="B73" s="15" t="inlineStr">
        <is>
          <t>前台問題追蹤表(ORD)</t>
        </is>
      </c>
      <c r="C73" s="15" t="inlineStr">
        <is>
          <t>144</t>
        </is>
      </c>
      <c r="D73" s="15" t="inlineStr">
        <is>
          <t>1810測試站的USR計畫
正式站沒有這問題</t>
        </is>
      </c>
      <c r="E73" s="15" t="inlineStr">
        <is>
          <t>SpecResearch / SpecUSR</t>
        </is>
      </c>
      <c r="F73" s="15" t="inlineStr">
        <is>
          <t>USR計畫手機版網頁標題會換行切到</t>
        </is>
      </c>
      <c r="G73" s="15" t="inlineStr">
        <is>
          <t>UI/樣式</t>
        </is>
      </c>
      <c r="H73" s="15" t="inlineStr">
        <is>
          <t>中</t>
        </is>
      </c>
      <c r="I73" s="15" t="inlineStr">
        <is>
          <t>M</t>
        </is>
      </c>
      <c r="J73" s="15" t="n">
        <v>1.5</v>
      </c>
      <c r="K73" s="15" t="inlineStr">
        <is>
          <t>待驗收</t>
        </is>
      </c>
      <c r="L73" s="15" t="inlineStr">
        <is>
          <t>待驗收</t>
        </is>
      </c>
      <c r="M73" s="15" t="n"/>
      <c r="N73" s="15" t="inlineStr">
        <is>
          <t>src/SpecFetures/1810/Pages/Server/BizFunc/WEB/SpecResearch；SpecUSR</t>
        </is>
      </c>
      <c r="O73" s="15" t="inlineStr">
        <is>
          <t>已完成可測試</t>
        </is>
      </c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8" t="n">
        <v>88</v>
      </c>
      <c r="B74" s="18" t="inlineStr">
        <is>
          <t>前台問題追蹤表(ORD)</t>
        </is>
      </c>
      <c r="C74" s="18" t="inlineStr">
        <is>
          <t>125</t>
        </is>
      </c>
      <c r="D74" s="18" t="inlineStr">
        <is>
          <t>廣告輪播</t>
        </is>
      </c>
      <c r="E74" s="18" t="inlineStr">
        <is>
          <t>Banner</t>
        </is>
      </c>
      <c r="F74" s="18" t="inlineStr">
        <is>
          <t>上新的Banner圖片後，不會自動輪播，按了下一張才會自動輪播</t>
        </is>
      </c>
      <c r="G74" s="18" t="inlineStr">
        <is>
          <t>功能/資料</t>
        </is>
      </c>
      <c r="H74" s="18" t="inlineStr">
        <is>
          <t>中</t>
        </is>
      </c>
      <c r="I74" s="18" t="inlineStr">
        <is>
          <t>M</t>
        </is>
      </c>
      <c r="J74" s="18" t="n">
        <v>2</v>
      </c>
      <c r="K74" s="18" t="inlineStr">
        <is>
          <t>已完成</t>
        </is>
      </c>
      <c r="L74" s="18" t="inlineStr">
        <is>
          <t>複驗通過（程式碼層）</t>
        </is>
      </c>
      <c r="M74" s="18" t="inlineStr">
        <is>
          <t>2026-05-27</t>
        </is>
      </c>
      <c r="N74" s="18" t="inlineStr">
        <is>
          <t>src/Features/Pages/Server/BizFunc/WEB/Banner；src/Features/WEB/Banner</t>
        </is>
      </c>
      <c r="O74" s="18" t="inlineStr">
        <is>
          <t>前台無法輪播，點擊無反應</t>
        </is>
      </c>
      <c r="P74" s="17" t="inlineStr">
        <is>
          <t>已依 GitHub main 複驗：BannerSlider useEffect 會在 sortedDetails 有資料時初始化 PC 與 Mobile carousel，initCarousel 會 getOrCreateInstance 並呼叫 cycle；播放/暫停按鈕也有 cycle/pause。程式層已符合自動輪播需求，仍建議正式測試站確認 Bootstrap JS 載入順序。</t>
        </is>
      </c>
      <c r="Q74" s="17" t="inlineStr">
        <is>
          <t>2026-05-27</t>
        </is>
      </c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5" t="n">
        <v>89</v>
      </c>
      <c r="B75" s="15" t="inlineStr">
        <is>
          <t>前台問題追蹤表(ORD)</t>
        </is>
      </c>
      <c r="C75" s="15" t="inlineStr">
        <is>
          <t>14</t>
        </is>
      </c>
      <c r="D75" s="15" t="inlineStr">
        <is>
          <t>功能頁面</t>
        </is>
      </c>
      <c r="E75" s="15" t="inlineStr">
        <is>
          <t>Announcement</t>
        </is>
      </c>
      <c r="F75" s="15" t="inlineStr">
        <is>
          <t>瀏覽器在重整兩三次後，點擊公告、消息這些點都出現“資料載入中...”且超過一分鐘</t>
        </is>
      </c>
      <c r="G75" s="15" t="inlineStr">
        <is>
          <t>SSR/渲染</t>
        </is>
      </c>
      <c r="H75" s="15" t="inlineStr">
        <is>
          <t>中</t>
        </is>
      </c>
      <c r="I75" s="15" t="inlineStr">
        <is>
          <t>M</t>
        </is>
      </c>
      <c r="J75" s="15" t="n">
        <v>2</v>
      </c>
      <c r="K75" s="15" t="inlineStr">
        <is>
          <t>退回，未通過</t>
        </is>
      </c>
      <c r="L75" s="15" t="inlineStr">
        <is>
          <t>複驗未通過</t>
        </is>
      </c>
      <c r="M75" s="15" t="n"/>
      <c r="N75" s="15" t="inlineStr">
        <is>
          <t>src/Features/Pages/Server/BizFunc/WEB/Announcement；src/Features/Pages/Client/...</t>
        </is>
      </c>
      <c r="O75" s="15" t="n"/>
      <c r="P75" s="17" t="inlineStr">
        <is>
          <t>已依 GitHub main 複驗：LoadingErrorHandler 仍可能在 loading 超過 500ms 顯示「資料載入中...」，且無模組層 timeout/保留舊內容機制；公告重整後長時間 loading 的問題不可視為完成。</t>
        </is>
      </c>
      <c r="Q75" s="17" t="inlineStr">
        <is>
          <t>2026-05-27</t>
        </is>
      </c>
      <c r="R75" s="17" t="inlineStr">
        <is>
          <t>不符合處：公告/消息重整後仍可能進入長時間 loading 狀態；目前共用 loading 元件會替換內容顯示載入文案。影響範圍：Announcement 與共用 ModuleContent 模組。對應檔案：src/SysCore/Components/LoadingErrorHandler.tsx、src/Features/Pages/Client/Scaffold/SubPages/Layouts/RightFrame/ModuleContent.tsx。建議：補 timeout、錯誤提示、保留 SSR 初始畫面與資料重試策略。涉及 SSR/CSR/UI/AA。</t>
        </is>
      </c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8" t="n">
        <v>90</v>
      </c>
      <c r="B76" s="18" t="inlineStr">
        <is>
          <t>前台問題追蹤表(ORD)</t>
        </is>
      </c>
      <c r="C76" s="18" t="inlineStr">
        <is>
          <t>85</t>
        </is>
      </c>
      <c r="D76" s="18" t="inlineStr">
        <is>
          <t>後台/網站功能</t>
        </is>
      </c>
      <c r="E76" s="18" t="inlineStr">
        <is>
          <t>共用 / 待判斷</t>
        </is>
      </c>
      <c r="F76" s="18" t="inlineStr">
        <is>
          <t>後臺更改資料時，能維持更動的位置，不要設定某一筆完後就又跳回到最前端，又必須一層一層點(記憶條件)</t>
        </is>
      </c>
      <c r="G76" s="18" t="inlineStr">
        <is>
          <t>功能/資料</t>
        </is>
      </c>
      <c r="H76" s="18" t="inlineStr">
        <is>
          <t>中</t>
        </is>
      </c>
      <c r="I76" s="18" t="inlineStr">
        <is>
          <t>M</t>
        </is>
      </c>
      <c r="J76" s="18" t="n">
        <v>2</v>
      </c>
      <c r="K76" s="18" t="inlineStr">
        <is>
          <t>待修</t>
        </is>
      </c>
      <c r="L76" s="18" t="inlineStr">
        <is>
          <t>未驗收</t>
        </is>
      </c>
      <c r="M76" s="18" t="n"/>
      <c r="N76" s="18" t="inlineStr">
        <is>
          <t>需依實際路由與功能檔案確認</t>
        </is>
      </c>
      <c r="O76" s="18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5" t="n">
        <v>91</v>
      </c>
      <c r="B77" s="15" t="inlineStr">
        <is>
          <t>前台問題追蹤表(ORD)</t>
        </is>
      </c>
      <c r="C77" s="15" t="inlineStr">
        <is>
          <t>124</t>
        </is>
      </c>
      <c r="D77" s="15" t="inlineStr">
        <is>
          <t>廣告輪播</t>
        </is>
      </c>
      <c r="E77" s="15" t="inlineStr">
        <is>
          <t>WebResource</t>
        </is>
      </c>
      <c r="F77" s="15" t="inlineStr">
        <is>
          <t>不能撥放影片</t>
        </is>
      </c>
      <c r="G77" s="15" t="inlineStr">
        <is>
          <t>功能/資料</t>
        </is>
      </c>
      <c r="H77" s="15" t="inlineStr">
        <is>
          <t>中</t>
        </is>
      </c>
      <c r="I77" s="15" t="inlineStr">
        <is>
          <t>M</t>
        </is>
      </c>
      <c r="J77" s="15" t="n">
        <v>2</v>
      </c>
      <c r="K77" s="15" t="inlineStr">
        <is>
          <t>退回，未通過</t>
        </is>
      </c>
      <c r="L77" s="15" t="inlineStr">
        <is>
          <t>複驗未通過</t>
        </is>
      </c>
      <c r="M77" s="15" t="n"/>
      <c r="N77" s="15" t="inlineStr">
        <is>
          <t>src/Features/Pages/Server/BizFunc/WEB/WebResource；src/Features/Pages/Client/B...</t>
        </is>
      </c>
      <c r="O77" s="15" t="n"/>
      <c r="P77" s="17" t="inlineStr">
        <is>
          <t>已依 GitHub main 複驗：1810 BannerSlider 目前只依 PicSrcId 產生 image preview，未看到影片來源/iframe/video 元件或影片播放控制，因此「廣告輪播不能播放影片」尚未完成。</t>
        </is>
      </c>
      <c r="Q77" s="17" t="inlineStr">
        <is>
          <t>2026-05-27</t>
        </is>
      </c>
      <c r="R77" s="17" t="inlineStr">
        <is>
          <t>不符合處：BannerSlider 尚無影片播放支援。影響範圍：首頁/廣告輪播若後台設定影片素材，前台不會播放。對應檔案：src/SpecFetures/1810/Pages/Client/Index/Section/BannerSlider.tsx。建議：先確認 Banner 資料模型是否有影片欄位；前台需依素材型態渲染 img/video/iframe，並處理 autoplay、controls、AA title/aria-label 與 CSP。涉及 UI/CSP/AA。</t>
        </is>
      </c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8" t="n">
        <v>92</v>
      </c>
      <c r="B78" s="18" t="inlineStr">
        <is>
          <t>前台問題追蹤表(ORD)</t>
        </is>
      </c>
      <c r="C78" s="18" t="inlineStr">
        <is>
          <t>154</t>
        </is>
      </c>
      <c r="D78" s="18" t="inlineStr">
        <is>
          <t>MENU連結調整</t>
        </is>
      </c>
      <c r="E78" s="18" t="inlineStr">
        <is>
          <t>SiteMenu / Header</t>
        </is>
      </c>
      <c r="F78" s="18" t="inlineStr">
        <is>
          <t>1. "臺藝校首頁"改成"臺藝大校首頁"，並另開新視窗
2. 記得處理網站導覽</t>
        </is>
      </c>
      <c r="G78" s="18" t="inlineStr">
        <is>
          <t>功能/資料</t>
        </is>
      </c>
      <c r="H78" s="18" t="inlineStr">
        <is>
          <t>中</t>
        </is>
      </c>
      <c r="I78" s="18" t="inlineStr">
        <is>
          <t>M</t>
        </is>
      </c>
      <c r="J78" s="18" t="n">
        <v>2</v>
      </c>
      <c r="K78" s="18" t="inlineStr">
        <is>
          <t>已完成</t>
        </is>
      </c>
      <c r="L78" s="18" t="inlineStr">
        <is>
          <t>複驗通過</t>
        </is>
      </c>
      <c r="M78" s="18" t="inlineStr">
        <is>
          <t>2026-05-27</t>
        </is>
      </c>
      <c r="N78" s="18" t="inlineStr">
        <is>
          <t>src/Features/Pages/Server/BizFunc/WEB/SiteMenu；src/SpecFetures/*/Pages/Client...</t>
        </is>
      </c>
      <c r="O78" s="18" t="n"/>
      <c r="P78" s="17" t="inlineStr">
        <is>
          <t>已依最新 GitHub main 複驗：1810 Header 的可視文字與 title 均已改為「臺藝大校首頁」，網站導覽連結也存在，且外部連結由 LangLink 另開處理。</t>
        </is>
      </c>
      <c r="Q78" s="17" t="inlineStr">
        <is>
          <t>2026-05-27</t>
        </is>
      </c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5" t="n">
        <v>93</v>
      </c>
      <c r="B79" s="15" t="inlineStr">
        <is>
          <t>前台問題追蹤表(ORD)</t>
        </is>
      </c>
      <c r="C79" s="15" t="inlineStr">
        <is>
          <t>173</t>
        </is>
      </c>
      <c r="D79" s="15" t="inlineStr">
        <is>
          <t>公告</t>
        </is>
      </c>
      <c r="E79" s="15" t="inlineStr">
        <is>
          <t>Announcement</t>
        </is>
      </c>
      <c r="F79" s="15" t="inlineStr">
        <is>
          <t>公告附件，PDF檔點開要另開新視窗，不是原視窗開啟預覽</t>
        </is>
      </c>
      <c r="G79" s="15" t="inlineStr">
        <is>
          <t>檔案/媒體</t>
        </is>
      </c>
      <c r="H79" s="15" t="inlineStr">
        <is>
          <t>中</t>
        </is>
      </c>
      <c r="I79" s="15" t="inlineStr">
        <is>
          <t>M</t>
        </is>
      </c>
      <c r="J79" s="15" t="n">
        <v>2</v>
      </c>
      <c r="K79" s="15" t="inlineStr">
        <is>
          <t>退回，未通過</t>
        </is>
      </c>
      <c r="L79" s="15" t="inlineStr">
        <is>
          <t>複驗未通過</t>
        </is>
      </c>
      <c r="M79" s="15" t="n"/>
      <c r="N79" s="15" t="inlineStr">
        <is>
          <t>src/Features/Pages/Server/BizFunc/WEB/Announcement；src/Features/Pages/Client/...</t>
        </is>
      </c>
      <c r="O79" s="15" t="n"/>
      <c r="P79" s="17" t="inlineStr">
        <is>
          <t>已依 GitHub main 複驗：AnnouncementForm 的附件下載連結目前使用 get_Public_Download_Url，但 LangLink 未設定 target="_blank" 與 rel；需求為 PDF 點開另開新視窗，因此目前不符合。</t>
        </is>
      </c>
      <c r="Q79" s="17" t="inlineStr">
        <is>
          <t>2026-05-27</t>
        </is>
      </c>
      <c r="R79" s="17" t="inlineStr">
        <is>
          <t>不符合處：公告附件 PDF 未強制另開新視窗。影響範圍：AnnouncementForm 內頁附件下載/預覽；可能造成使用者離開原頁，AA 鍵盤返回與安全 rel 也不完整。對應檔案：src/Features/Pages/Client/BizFunc/WEB/Announcement/AnnouncementForm.tsx。建議：判斷副檔名 PDF 時使用 public preview URL 並加 target="_blank" rel="noopener noreferrer"；非 PDF 維持下載策略但也應補 aria-label/title。涉及 AA/UI/弱掃安全屬性。</t>
        </is>
      </c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8" t="n">
        <v>94</v>
      </c>
      <c r="B80" s="18" t="inlineStr">
        <is>
          <t>前台問題追蹤表(ORD)</t>
        </is>
      </c>
      <c r="C80" s="18" t="inlineStr">
        <is>
          <t>183</t>
        </is>
      </c>
      <c r="D80" s="18" t="inlineStr">
        <is>
          <t>共用 / 待判斷</t>
        </is>
      </c>
      <c r="E80" s="18" t="inlineStr">
        <is>
          <t>共用 / 待判斷</t>
        </is>
      </c>
      <c r="F80" s="18" t="n"/>
      <c r="G80" s="18" t="inlineStr">
        <is>
          <t>功能/資料</t>
        </is>
      </c>
      <c r="H80" s="18" t="inlineStr">
        <is>
          <t>中</t>
        </is>
      </c>
      <c r="I80" s="18" t="inlineStr">
        <is>
          <t>M</t>
        </is>
      </c>
      <c r="J80" s="18" t="n">
        <v>2</v>
      </c>
      <c r="K80" s="18" t="inlineStr">
        <is>
          <t>已完成</t>
        </is>
      </c>
      <c r="L80" s="18" t="inlineStr">
        <is>
          <t>未驗收</t>
        </is>
      </c>
      <c r="M80" s="18" t="n"/>
      <c r="N80" s="18" t="inlineStr">
        <is>
          <t>需依實際路由與功能檔案確認</t>
        </is>
      </c>
      <c r="O80" s="18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5" t="n">
        <v>95</v>
      </c>
      <c r="B81" s="15" t="inlineStr">
        <is>
          <t>前台問題追蹤表(ORD)</t>
        </is>
      </c>
      <c r="C81" s="15" t="inlineStr">
        <is>
          <t>184</t>
        </is>
      </c>
      <c r="D81" s="15" t="inlineStr">
        <is>
          <t>共用 / 待判斷</t>
        </is>
      </c>
      <c r="E81" s="15" t="inlineStr">
        <is>
          <t>共用 / 待判斷</t>
        </is>
      </c>
      <c r="F81" s="15" t="n"/>
      <c r="G81" s="15" t="inlineStr">
        <is>
          <t>功能/資料</t>
        </is>
      </c>
      <c r="H81" s="15" t="inlineStr">
        <is>
          <t>中</t>
        </is>
      </c>
      <c r="I81" s="15" t="inlineStr">
        <is>
          <t>M</t>
        </is>
      </c>
      <c r="J81" s="15" t="n">
        <v>2</v>
      </c>
      <c r="K81" s="15" t="inlineStr">
        <is>
          <t>已完成</t>
        </is>
      </c>
      <c r="L81" s="15" t="inlineStr">
        <is>
          <t>未驗收</t>
        </is>
      </c>
      <c r="M81" s="15" t="n"/>
      <c r="N81" s="15" t="inlineStr">
        <is>
          <t>需依實際路由與功能檔案確認</t>
        </is>
      </c>
      <c r="O81" s="15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8" t="n">
        <v>96</v>
      </c>
      <c r="B82" s="18" t="inlineStr">
        <is>
          <t>前台問題追蹤表(ORD)</t>
        </is>
      </c>
      <c r="C82" s="18" t="inlineStr">
        <is>
          <t>185</t>
        </is>
      </c>
      <c r="D82" s="18" t="inlineStr">
        <is>
          <t>共用 / 待判斷</t>
        </is>
      </c>
      <c r="E82" s="18" t="inlineStr">
        <is>
          <t>共用 / 待判斷</t>
        </is>
      </c>
      <c r="F82" s="18" t="n"/>
      <c r="G82" s="18" t="inlineStr">
        <is>
          <t>功能/資料</t>
        </is>
      </c>
      <c r="H82" s="18" t="inlineStr">
        <is>
          <t>中</t>
        </is>
      </c>
      <c r="I82" s="18" t="inlineStr">
        <is>
          <t>M</t>
        </is>
      </c>
      <c r="J82" s="18" t="n">
        <v>2</v>
      </c>
      <c r="K82" s="18" t="inlineStr">
        <is>
          <t>已完成</t>
        </is>
      </c>
      <c r="L82" s="18" t="inlineStr">
        <is>
          <t>未驗收</t>
        </is>
      </c>
      <c r="M82" s="18" t="n"/>
      <c r="N82" s="18" t="inlineStr">
        <is>
          <t>需依實際路由與功能檔案確認</t>
        </is>
      </c>
      <c r="O82" s="18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5" t="n">
        <v>97</v>
      </c>
      <c r="B83" s="15" t="inlineStr">
        <is>
          <t>前台問題追蹤表(ORD)</t>
        </is>
      </c>
      <c r="C83" s="15" t="inlineStr">
        <is>
          <t>186</t>
        </is>
      </c>
      <c r="D83" s="15" t="inlineStr">
        <is>
          <t>共用 / 待判斷</t>
        </is>
      </c>
      <c r="E83" s="15" t="inlineStr">
        <is>
          <t>共用 / 待判斷</t>
        </is>
      </c>
      <c r="F83" s="15" t="n"/>
      <c r="G83" s="15" t="inlineStr">
        <is>
          <t>功能/資料</t>
        </is>
      </c>
      <c r="H83" s="15" t="inlineStr">
        <is>
          <t>中</t>
        </is>
      </c>
      <c r="I83" s="15" t="inlineStr">
        <is>
          <t>M</t>
        </is>
      </c>
      <c r="J83" s="15" t="n">
        <v>2</v>
      </c>
      <c r="K83" s="15" t="inlineStr">
        <is>
          <t>已完成</t>
        </is>
      </c>
      <c r="L83" s="15" t="inlineStr">
        <is>
          <t>未驗收</t>
        </is>
      </c>
      <c r="M83" s="15" t="n"/>
      <c r="N83" s="15" t="inlineStr">
        <is>
          <t>需依實際路由與功能檔案確認</t>
        </is>
      </c>
      <c r="O83" s="15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8" t="n">
        <v>102</v>
      </c>
      <c r="B84" s="18" t="inlineStr">
        <is>
          <t>前台問題追蹤表(ORD)</t>
        </is>
      </c>
      <c r="C84" s="18" t="inlineStr">
        <is>
          <t>21</t>
        </is>
      </c>
      <c r="D84" s="18" t="inlineStr">
        <is>
          <t>共用 / 待判斷</t>
        </is>
      </c>
      <c r="E84" s="18" t="inlineStr">
        <is>
          <t>共用 / 待判斷</t>
        </is>
      </c>
      <c r="F84" s="18" t="inlineStr">
        <is>
          <t>2. 若是修改類別/標籤(URL有internalId的) =&gt; Button改為修改資料，反之新增資料</t>
        </is>
      </c>
      <c r="G84" s="18" t="inlineStr">
        <is>
          <t>功能/資料</t>
        </is>
      </c>
      <c r="H84" s="18" t="inlineStr">
        <is>
          <t>中</t>
        </is>
      </c>
      <c r="I84" s="18" t="inlineStr">
        <is>
          <t>M</t>
        </is>
      </c>
      <c r="J84" s="18" t="n">
        <v>2</v>
      </c>
      <c r="K84" s="18" t="inlineStr">
        <is>
          <t>退回，未通過</t>
        </is>
      </c>
      <c r="L84" s="18" t="inlineStr">
        <is>
          <t>複驗未通過</t>
        </is>
      </c>
      <c r="M84" s="18" t="n"/>
      <c r="N84" s="18" t="inlineStr">
        <is>
          <t>需依實際路由與功能檔案確認</t>
        </is>
      </c>
      <c r="O84" s="18" t="inlineStr">
        <is>
          <t>已完成</t>
        </is>
      </c>
      <c r="P84" s="17" t="inlineStr">
        <is>
          <t>第十七批依本次 ZIP 複驗：Category / Tag 的新增導頁與編輯導頁存在，但 FormList_Toolbar 的儲存按鈕仍固定顯示「儲存送出」，沒有依 URL 是否有 internalId 切換為新增資料/修改資料。</t>
        </is>
      </c>
      <c r="Q84" s="17" t="inlineStr">
        <is>
          <t>2026-05-27</t>
        </is>
      </c>
      <c r="R84" s="17" t="inlineStr">
        <is>
          <t>不符合處：類別/標籤表單的主要按鈕文案未依新增/修改狀態切換，仍固定為「儲存送出」。影響範圍：Announcement / Gallery / FileArchive / WebResource 等共用 Category / Tag 後台維護畫面，使用者在編輯既有 internalId 時無法從按鈕語意確認目前是新增或修改。對應檔案：src/Features/Pages/Server/Scaffold/Toolbar/Toolbar_Comp.tsx、src/Features/Pages/Server/BizFunc/COMM/Category/Server_Category_ListForm_Comp.tsx、src/Features/Pages/Server/BizFunc/COMM/Tags/Server_Tag_ListForm_Comp.tsx。建議修正方向：FormList_Toolbar 增加 mode 或 isEdit 參數，依 internalId 顯示「新增資料」或「修改資料」，並同步 title / aria-label。涉及 AA / UI / TypeScript。</t>
        </is>
      </c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5" t="n">
        <v>103</v>
      </c>
      <c r="B85" s="15" t="inlineStr">
        <is>
          <t>前台問題追蹤表(ORD)</t>
        </is>
      </c>
      <c r="C85" s="15" t="inlineStr">
        <is>
          <t>22</t>
        </is>
      </c>
      <c r="D85" s="15" t="inlineStr">
        <is>
          <t>共用 / 待判斷</t>
        </is>
      </c>
      <c r="E85" s="15" t="inlineStr">
        <is>
          <t>共用 / 待判斷</t>
        </is>
      </c>
      <c r="F85" s="15" t="inlineStr">
        <is>
          <t>3. 點擊新增資料時，redirect到新資料(e.x.: ../Category(Tag))</t>
        </is>
      </c>
      <c r="G85" s="15" t="inlineStr">
        <is>
          <t>功能/資料</t>
        </is>
      </c>
      <c r="H85" s="15" t="inlineStr">
        <is>
          <t>中</t>
        </is>
      </c>
      <c r="I85" s="15" t="inlineStr">
        <is>
          <t>M</t>
        </is>
      </c>
      <c r="J85" s="15" t="n">
        <v>2</v>
      </c>
      <c r="K85" s="15" t="inlineStr">
        <is>
          <t>已完成</t>
        </is>
      </c>
      <c r="L85" s="15" t="inlineStr">
        <is>
          <t>複驗通過</t>
        </is>
      </c>
      <c r="M85" s="15" t="inlineStr">
        <is>
          <t>2026-05-27</t>
        </is>
      </c>
      <c r="N85" s="15" t="inlineStr">
        <is>
          <t>需依實際路由與功能檔案確認</t>
        </is>
      </c>
      <c r="O85" s="15" t="inlineStr">
        <is>
          <t>已完成</t>
        </is>
      </c>
      <c r="P85" s="17" t="inlineStr">
        <is>
          <t>第十七批依本次 ZIP 複驗：Category / Tag 的 onAddNew 會 navigate(dirUrl)，dirUrl 對應目前功能的 /Category 或 /Tag 基準路徑；列表項目編輯則導向 `${dirUrl}/${internalId}`，符合點擊新增資料回到新資料路由的需求。</t>
        </is>
      </c>
      <c r="Q85" s="17" t="inlineStr">
        <is>
          <t>2026-05-27</t>
        </is>
      </c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8" t="n">
        <v>104</v>
      </c>
      <c r="B86" s="18" t="inlineStr">
        <is>
          <t>前台問題追蹤表(ORD)</t>
        </is>
      </c>
      <c r="C86" s="18" t="inlineStr">
        <is>
          <t>23</t>
        </is>
      </c>
      <c r="D86" s="18" t="inlineStr">
        <is>
          <t>SpecResearch / SpecUSR</t>
        </is>
      </c>
      <c r="E86" s="18" t="inlineStr">
        <is>
          <t>SpecResearch / SpecUSR</t>
        </is>
      </c>
      <c r="F86" s="18" t="inlineStr">
        <is>
          <t>4. USR計劃的新增編輯，欄位要能輸入資料(同第1點)</t>
        </is>
      </c>
      <c r="G86" s="18" t="inlineStr">
        <is>
          <t>功能/資料</t>
        </is>
      </c>
      <c r="H86" s="18" t="inlineStr">
        <is>
          <t>中</t>
        </is>
      </c>
      <c r="I86" s="18" t="inlineStr">
        <is>
          <t>M</t>
        </is>
      </c>
      <c r="J86" s="18" t="n">
        <v>2</v>
      </c>
      <c r="K86" s="18" t="inlineStr">
        <is>
          <t>已完成</t>
        </is>
      </c>
      <c r="L86" s="18" t="inlineStr">
        <is>
          <t>複驗通過（後台表單流程）</t>
        </is>
      </c>
      <c r="M86" s="18" t="inlineStr">
        <is>
          <t>2026-05-27</t>
        </is>
      </c>
      <c r="N86" s="18" t="inlineStr">
        <is>
          <t>src/SpecFetures/1810/Pages/Server/BizFunc/WEB/SpecResearch；SpecUSR</t>
        </is>
      </c>
      <c r="O86" s="18" t="inlineStr">
        <is>
          <t>已完成</t>
        </is>
      </c>
      <c r="P86" s="17" t="inlineStr">
        <is>
          <t>已依 GitHub main 複驗：Server_SpecUSR_Form_Comp 依 visibleCols 動態產生欄位，使用 LibTextBox / setField 綁定 SpecUSRDetail 欄位；Save 會呼叫 createAsync/updateAsync。程式層可支援新增/編輯輸入資料。</t>
        </is>
      </c>
      <c r="Q86" s="17" t="inlineStr">
        <is>
          <t>2026-05-27</t>
        </is>
      </c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5" t="n">
        <v>105</v>
      </c>
      <c r="B87" s="15" t="inlineStr">
        <is>
          <t>前台問題追蹤表(ORD)</t>
        </is>
      </c>
      <c r="C87" s="15" t="inlineStr">
        <is>
          <t>45</t>
        </is>
      </c>
      <c r="D87" s="15" t="inlineStr">
        <is>
          <t>首頁/
學術發展組/
研究榮譽/
國科會計畫/
113年度
(各學年都有同樣問題依此類推)</t>
        </is>
      </c>
      <c r="E87" s="15" t="inlineStr">
        <is>
          <t>SpecResearch / SpecUSR</t>
        </is>
      </c>
      <c r="F87" s="15" t="inlineStr">
        <is>
          <t>欄位排序問題</t>
        </is>
      </c>
      <c r="G87" s="15" t="inlineStr">
        <is>
          <t>排序/狀態</t>
        </is>
      </c>
      <c r="H87" s="15" t="inlineStr">
        <is>
          <t>中</t>
        </is>
      </c>
      <c r="I87" s="15" t="inlineStr">
        <is>
          <t>M</t>
        </is>
      </c>
      <c r="J87" s="15" t="n">
        <v>2</v>
      </c>
      <c r="K87" s="15" t="inlineStr">
        <is>
          <t>處理中</t>
        </is>
      </c>
      <c r="L87" s="15" t="inlineStr">
        <is>
          <t>未驗收</t>
        </is>
      </c>
      <c r="M87" s="15" t="n"/>
      <c r="N87" s="15" t="inlineStr">
        <is>
          <t>src/SpecFetures/1810/Pages/Server/BizFunc/WEB/SpecResearch；SpecUSR</t>
        </is>
      </c>
      <c r="O87" s="15" t="inlineStr">
        <is>
          <t>開發中</t>
        </is>
      </c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8" t="n">
        <v>106</v>
      </c>
      <c r="B88" s="18" t="inlineStr">
        <is>
          <t>前台問題追蹤表(ORD)</t>
        </is>
      </c>
      <c r="C88" s="18" t="inlineStr">
        <is>
          <t>153</t>
        </is>
      </c>
      <c r="D88" s="18" t="inlineStr">
        <is>
          <t>相簿預設封面</t>
        </is>
      </c>
      <c r="E88" s="18" t="inlineStr">
        <is>
          <t>Gallery</t>
        </is>
      </c>
      <c r="F88" s="18" t="inlineStr">
        <is>
          <t>預設封面不要用這張，用素色灰底寫尺寸的即可</t>
        </is>
      </c>
      <c r="G88" s="18" t="inlineStr">
        <is>
          <t>功能/資料</t>
        </is>
      </c>
      <c r="H88" s="18" t="inlineStr">
        <is>
          <t>中</t>
        </is>
      </c>
      <c r="I88" s="18" t="inlineStr">
        <is>
          <t>M</t>
        </is>
      </c>
      <c r="J88" s="18" t="n">
        <v>2</v>
      </c>
      <c r="K88" s="18" t="inlineStr">
        <is>
          <t>待規劃</t>
        </is>
      </c>
      <c r="L88" s="18" t="inlineStr">
        <is>
          <t>未驗收</t>
        </is>
      </c>
      <c r="M88" s="18" t="n"/>
      <c r="N88" s="18" t="inlineStr">
        <is>
          <t>src/Features/Pages/Server/BizFunc/WEB/Gallery；src/Features/Pages/Client/BizFu...</t>
        </is>
      </c>
      <c r="O88" s="18" t="inlineStr">
        <is>
          <t>須提供Src Pic</t>
        </is>
      </c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5" t="n">
        <v>107</v>
      </c>
      <c r="B89" s="15" t="inlineStr">
        <is>
          <t>前台問題追蹤表(ORD)</t>
        </is>
      </c>
      <c r="C89" s="15" t="inlineStr">
        <is>
          <t>12</t>
        </is>
      </c>
      <c r="D89" s="15" t="inlineStr">
        <is>
          <t>共用 / 待判斷</t>
        </is>
      </c>
      <c r="E89" s="15" t="inlineStr">
        <is>
          <t>共用 / 待判斷</t>
        </is>
      </c>
      <c r="F89" s="15" t="inlineStr">
        <is>
          <t>第一次載入破圖(偶而)</t>
        </is>
      </c>
      <c r="G89" s="15" t="inlineStr">
        <is>
          <t>功能/資料</t>
        </is>
      </c>
      <c r="H89" s="15" t="inlineStr">
        <is>
          <t>中</t>
        </is>
      </c>
      <c r="I89" s="15" t="inlineStr">
        <is>
          <t>M</t>
        </is>
      </c>
      <c r="J89" s="15" t="n">
        <v>2</v>
      </c>
      <c r="K89" s="15" t="inlineStr">
        <is>
          <t>部分複驗，待實機確認</t>
        </is>
      </c>
      <c r="L89" s="15" t="inlineStr">
        <is>
          <t>部分複驗，待實機確認</t>
        </is>
      </c>
      <c r="M89" s="15" t="n"/>
      <c r="N89" s="15" t="inlineStr">
        <is>
          <t>需依實際路由與功能檔案確認</t>
        </is>
      </c>
      <c r="O89" s="15" t="inlineStr">
        <is>
          <t>官-看不懂此題意思?</t>
        </is>
      </c>
      <c r="P89" s="26" t="inlineStr">
        <is>
          <t>第十九批依本次完整 ZIP 重新複驗：AnnouncementList.tsx 圖文清單 PictureId 空值有 DefaultEventPic fallback，alt 以 PicDescription 或 title 補值；TimelineSlider alt 亦會以圖片說明、標題或「大事記圖片」補齊；SpecUSR 圖片也有 DefaultPic fallback。惟「第一次載入偶發破圖」可能來自正式站檔案 internalId、靜態檔/IIS、CDN/cache、權限或網路時序，ZIP 無法確認實際資源是否存在。涉及 UI、AA alt、Network、CSR/SSR 首載；維持實機確認。</t>
        </is>
      </c>
      <c r="Q89" s="26" t="inlineStr">
        <is>
          <t>2026-05-27</t>
        </is>
      </c>
      <c r="R89" s="26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8" t="n">
        <v>109</v>
      </c>
      <c r="B90" s="18" t="inlineStr">
        <is>
          <t>前台問題追蹤表(ORD)</t>
        </is>
      </c>
      <c r="C90" s="18" t="inlineStr">
        <is>
          <t>18</t>
        </is>
      </c>
      <c r="D90" s="18" t="inlineStr">
        <is>
          <t>Announcement</t>
        </is>
      </c>
      <c r="E90" s="18" t="inlineStr">
        <is>
          <t>Announcement</t>
        </is>
      </c>
      <c r="F90" s="18" t="inlineStr">
        <is>
          <t>1. 最新公告內容說明裡  只有[ 編輯 ]，回 [ 上一頁 ]不見了~</t>
        </is>
      </c>
      <c r="G90" s="18" t="inlineStr">
        <is>
          <t>功能/資料</t>
        </is>
      </c>
      <c r="H90" s="18" t="inlineStr">
        <is>
          <t>中</t>
        </is>
      </c>
      <c r="I90" s="18" t="inlineStr">
        <is>
          <t>M</t>
        </is>
      </c>
      <c r="J90" s="18" t="n">
        <v>2</v>
      </c>
      <c r="K90" s="18" t="inlineStr">
        <is>
          <t>待確認</t>
        </is>
      </c>
      <c r="L90" s="18" t="inlineStr">
        <is>
          <t>未驗收</t>
        </is>
      </c>
      <c r="M90" s="18" t="n"/>
      <c r="N90" s="18" t="inlineStr">
        <is>
          <t>src/Features/Pages/Server/BizFunc/WEB/Announcement；src/Features/Pages/Client/...</t>
        </is>
      </c>
      <c r="O90" s="18" t="inlineStr">
        <is>
          <t>暫時移除</t>
        </is>
      </c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5" t="n">
        <v>110</v>
      </c>
      <c r="B91" s="15" t="inlineStr">
        <is>
          <t>前台問題追蹤表(ORD)</t>
        </is>
      </c>
      <c r="C91" s="15" t="inlineStr">
        <is>
          <t>60</t>
        </is>
      </c>
      <c r="D91" s="15" t="inlineStr">
        <is>
          <t>PageManagement / TinyMCE</t>
        </is>
      </c>
      <c r="E91" s="15" t="inlineStr">
        <is>
          <t>PageManagement / TinyMCE</t>
        </is>
      </c>
      <c r="F91" s="15" t="inlineStr">
        <is>
          <t>(瀏覽器頁籤)Page的Title要帶網站 + Menu對應的那個RouteName</t>
        </is>
      </c>
      <c r="G91" s="15" t="inlineStr">
        <is>
          <t>功能/資料</t>
        </is>
      </c>
      <c r="H91" s="15" t="inlineStr">
        <is>
          <t>中</t>
        </is>
      </c>
      <c r="I91" s="15" t="inlineStr">
        <is>
          <t>M</t>
        </is>
      </c>
      <c r="J91" s="15" t="n">
        <v>2</v>
      </c>
      <c r="K91" s="15" t="inlineStr">
        <is>
          <t>已完成</t>
        </is>
      </c>
      <c r="L91" s="15" t="inlineStr">
        <is>
          <t>複驗通過</t>
        </is>
      </c>
      <c r="M91" s="15" t="inlineStr">
        <is>
          <t>2026-05-27</t>
        </is>
      </c>
      <c r="N91" s="15" t="inlineStr">
        <is>
          <t>src/Features/Pages/Server/BizFunc/WEB/PageManagement；src/SysCore/Components/T...</t>
        </is>
      </c>
      <c r="O91" s="15" t="inlineStr">
        <is>
          <t>已完成可測試</t>
        </is>
      </c>
      <c r="P91" s="17" t="inlineStr">
        <is>
          <t>已依 GitHub main 複驗：ModuleContent 會組合 siteHeaderMeta.title、nodeTitle、props.title 成 fullTitle，HeaderMetaComp 會寫入 &lt;title&gt;，並同步 html lang、canonical、alternate 等 SEO/多語系資訊。</t>
        </is>
      </c>
      <c r="Q91" s="17" t="inlineStr">
        <is>
          <t>2026-05-27</t>
        </is>
      </c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8" t="n">
        <v>111</v>
      </c>
      <c r="B92" s="18" t="inlineStr">
        <is>
          <t>前台問題追蹤表(ORD)</t>
        </is>
      </c>
      <c r="C92" s="18" t="inlineStr">
        <is>
          <t>159</t>
        </is>
      </c>
      <c r="D92" s="18" t="inlineStr">
        <is>
          <t>USR計畫優化</t>
        </is>
      </c>
      <c r="E92" s="18" t="inlineStr">
        <is>
          <t>SpecResearch / SpecUSR</t>
        </is>
      </c>
      <c r="F92" s="18" t="inlineStr">
        <is>
          <t>有key資料的欄位，在前台內頁顯示出來</t>
        </is>
      </c>
      <c r="G92" s="18" t="inlineStr">
        <is>
          <t>功能/資料</t>
        </is>
      </c>
      <c r="H92" s="18" t="inlineStr">
        <is>
          <t>中</t>
        </is>
      </c>
      <c r="I92" s="18" t="inlineStr">
        <is>
          <t>M</t>
        </is>
      </c>
      <c r="J92" s="18" t="n">
        <v>2</v>
      </c>
      <c r="K92" s="18" t="inlineStr">
        <is>
          <t>已完成</t>
        </is>
      </c>
      <c r="L92" s="18" t="inlineStr">
        <is>
          <t>複驗通過（程式碼層）</t>
        </is>
      </c>
      <c r="M92" s="18" t="inlineStr">
        <is>
          <t>2026-05-27</t>
        </is>
      </c>
      <c r="N92" s="18" t="inlineStr">
        <is>
          <t>src/SpecFetures/1810/Pages/Server/BizFunc/WEB/SpecResearch；SpecUSR</t>
        </is>
      </c>
      <c r="O92" s="18" t="inlineStr">
        <is>
          <t>已完成可測試</t>
        </is>
      </c>
      <c r="P92" s="17" t="inlineStr">
        <is>
          <t>已依 GitHub main 複驗：SpecUSR_Form_Comp 會依 allCols 與 showColumns 判斷前台內頁顯示欄位，包含 ProjectItem、ProjectLeader、ProjectSubLeader、Department、AttendTeam、Remark 等 key 欄位；相關連結與相關檔案也已渲染。</t>
        </is>
      </c>
      <c r="Q92" s="17" t="inlineStr">
        <is>
          <t>2026-05-27</t>
        </is>
      </c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5" t="n">
        <v>112</v>
      </c>
      <c r="B93" s="15" t="inlineStr">
        <is>
          <t>前台問題追蹤表(ORD)</t>
        </is>
      </c>
      <c r="C93" s="15" t="inlineStr">
        <is>
          <t>182</t>
        </is>
      </c>
      <c r="D93" s="15" t="inlineStr">
        <is>
          <t>研發處Banner</t>
        </is>
      </c>
      <c r="E93" s="15" t="inlineStr">
        <is>
          <t>Banner</t>
        </is>
      </c>
      <c r="F93" s="15" t="inlineStr">
        <is>
          <t>輪播不要淡出淡入，要能直接切換下一張圖片</t>
        </is>
      </c>
      <c r="G93" s="15" t="inlineStr">
        <is>
          <t>功能/資料</t>
        </is>
      </c>
      <c r="H93" s="15" t="inlineStr">
        <is>
          <t>中</t>
        </is>
      </c>
      <c r="I93" s="15" t="inlineStr">
        <is>
          <t>M</t>
        </is>
      </c>
      <c r="J93" s="15" t="n">
        <v>2</v>
      </c>
      <c r="K93" s="15" t="inlineStr">
        <is>
          <t>退回，未通過</t>
        </is>
      </c>
      <c r="L93" s="15" t="inlineStr">
        <is>
          <t>複驗未通過</t>
        </is>
      </c>
      <c r="M93" s="15" t="n"/>
      <c r="N93" s="15" t="inlineStr">
        <is>
          <t>src/Features/Pages/Server/BizFunc/WEB/Banner；src/Features/WEB/Banner</t>
        </is>
      </c>
      <c r="O93" s="15" t="inlineStr">
        <is>
          <t>已完成可測試</t>
        </is>
      </c>
      <c r="P93" s="17" t="inlineStr">
        <is>
          <t>已依 GitHub main 複驗：1810 BannerSlider 的 PC 與 Mobile carousel 仍使用 className="carousel carousel-dark slide carousel-fade"，因此仍是淡出淡入效果，不符合「直接切換下一張圖片」需求。</t>
        </is>
      </c>
      <c r="Q93" s="17" t="inlineStr">
        <is>
          <t>2026-05-27</t>
        </is>
      </c>
      <c r="R93" s="17" t="inlineStr">
        <is>
          <t>不符合處：Banner 仍保留 carousel-fade，視覺效果仍是淡出淡入。影響範圍：研發處/1810 Banner 輪播視覺行為。對應檔案：src/SpecFetures/1810/Pages/Client/Index/Section/BannerSlider.tsx。建議：移除 carousel-fade class，必要時補 CSS/Bootstrap 設定讓 slide 直接切換；同時確認 mobile/PC 兩組 carousel 都一致。涉及 UI 行為。</t>
        </is>
      </c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8" t="n">
        <v>113</v>
      </c>
      <c r="B94" s="18" t="inlineStr">
        <is>
          <t>專案ZIP對標補漏</t>
        </is>
      </c>
      <c r="C94" s="18" t="inlineStr">
        <is>
          <t>ZIP-006</t>
        </is>
      </c>
      <c r="D94" s="18" t="inlineStr">
        <is>
          <t>SurveySubmission Captcha 串接驗收</t>
        </is>
      </c>
      <c r="E94" s="18" t="inlineStr">
        <is>
          <t>Captcha</t>
        </is>
      </c>
      <c r="F94" s="18" t="inlineStr">
        <is>
          <t>Captcha 元件與 hook 已建立，需確認 Survey 前台送出流程、錯誤提示、多語系與 SSR/CSR 相容。</t>
        </is>
      </c>
      <c r="G94" s="18" t="inlineStr">
        <is>
          <t>功能/資料</t>
        </is>
      </c>
      <c r="H94" s="18" t="inlineStr">
        <is>
          <t>中</t>
        </is>
      </c>
      <c r="I94" s="18" t="inlineStr">
        <is>
          <t>M</t>
        </is>
      </c>
      <c r="J94" s="18" t="n">
        <v>2</v>
      </c>
      <c r="K94" s="18" t="inlineStr">
        <is>
          <t>已完成</t>
        </is>
      </c>
      <c r="L94" s="18" t="inlineStr">
        <is>
          <t>複驗通過（前後端流程）</t>
        </is>
      </c>
      <c r="M94" s="18" t="inlineStr">
        <is>
          <t>2026-05-27</t>
        </is>
      </c>
      <c r="N94" s="18" t="inlineStr">
        <is>
          <t>src/Features/Hooks/BizFunc/SYS/Captcha；Client_Survey_Form_Comp.tsx</t>
        </is>
      </c>
      <c r="O94" s="18" t="n"/>
      <c r="P94" s="17" t="inlineStr">
        <is>
          <t>已依 GitHub main 複驗：Survey 表單已接 useCaptchaController 與 Captcha_Comp，送出前 validateCaptcha，並把 CaptchaToken 放入提交 DTO；後端 SurveySubmission.Public_Submit 會先 VerifyCaptchaAsync，失敗即回傳錯誤不寫入資料。仍需實機確認 Cloudflare Hostname/SiteKey/SecretKey 設定。</t>
        </is>
      </c>
      <c r="Q94" s="17" t="inlineStr">
        <is>
          <t>2026-05-27</t>
        </is>
      </c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5" t="n">
        <v>114</v>
      </c>
      <c r="B95" s="15" t="inlineStr">
        <is>
          <t>專案ZIP對標補漏</t>
        </is>
      </c>
      <c r="C95" s="15" t="inlineStr">
        <is>
          <t>ZIP-007</t>
        </is>
      </c>
      <c r="D95" s="15" t="inlineStr">
        <is>
          <t>圖片循環/Material UI 回歸</t>
        </is>
      </c>
      <c r="E95" s="15" t="inlineStr">
        <is>
          <t>Spec1820 Material/Production</t>
        </is>
      </c>
      <c r="F95" s="15" t="inlineStr">
        <is>
          <t>1820 SpecProduction 與 Material List 曾調整循環與 Tab UI，需納入一輪回歸避免資料或共用 hook 影響版型。</t>
        </is>
      </c>
      <c r="G95" s="15" t="inlineStr">
        <is>
          <t>UI/樣式</t>
        </is>
      </c>
      <c r="H95" s="15" t="inlineStr">
        <is>
          <t>中</t>
        </is>
      </c>
      <c r="I95" s="15" t="inlineStr">
        <is>
          <t>M</t>
        </is>
      </c>
      <c r="J95" s="15" t="n">
        <v>2</v>
      </c>
      <c r="K95" s="15" t="inlineStr">
        <is>
          <t>已完成</t>
        </is>
      </c>
      <c r="L95" s="15" t="inlineStr">
        <is>
          <t>複驗通過</t>
        </is>
      </c>
      <c r="M95" s="15" t="inlineStr">
        <is>
          <t>2026-05-27</t>
        </is>
      </c>
      <c r="N95" s="15" t="inlineStr">
        <is>
          <t>src/SpecFetures/1820；Client_Material_List_Comp.tsx</t>
        </is>
      </c>
      <c r="O95" s="15" t="n"/>
      <c r="P95" s="17" t="inlineStr">
        <is>
          <t>第十七批依本次 ZIP 複驗：Spec1820 Production carousel 已以複製首尾項目與 jumpWithoutAnimation 處理循環，goNext 會持續向右銜接第一筆；Material List 也保留 Tag Tab 與 activeTabId 切換邏輯，符合前台循環與 Tab UI 回歸要求。</t>
        </is>
      </c>
      <c r="Q95" s="17" t="inlineStr">
        <is>
          <t>2026-05-27</t>
        </is>
      </c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8" t="n">
        <v>122</v>
      </c>
      <c r="B96" s="18" t="inlineStr">
        <is>
          <t>前台問題追蹤表(ORD)</t>
        </is>
      </c>
      <c r="C96" s="18" t="inlineStr">
        <is>
          <t>121</t>
        </is>
      </c>
      <c r="D96" s="18" t="inlineStr">
        <is>
          <t>USR計畫功能</t>
        </is>
      </c>
      <c r="E96" s="18" t="inlineStr">
        <is>
          <t>FileArchive / 檔案資源</t>
        </is>
      </c>
      <c r="F96" s="18" t="inlineStr">
        <is>
          <t>1. 成果照片(可放多張)-這點等新站功能再調整
2. 增加"相關連結"和"附加檔案"欄位</t>
        </is>
      </c>
      <c r="G96" s="18" t="inlineStr">
        <is>
          <t>檔案/媒體</t>
        </is>
      </c>
      <c r="H96" s="18" t="inlineStr">
        <is>
          <t>中</t>
        </is>
      </c>
      <c r="I96" s="18" t="inlineStr">
        <is>
          <t>L</t>
        </is>
      </c>
      <c r="J96" s="18" t="n">
        <v>6</v>
      </c>
      <c r="K96" s="18" t="inlineStr">
        <is>
          <t>待修</t>
        </is>
      </c>
      <c r="L96" s="18" t="inlineStr">
        <is>
          <t>未驗收</t>
        </is>
      </c>
      <c r="M96" s="18" t="n"/>
      <c r="N96" s="18" t="inlineStr">
        <is>
          <t>src/Features/Pages/Server/BizFunc/WEB/FileArchive；src/Features/Pages/Client/B...</t>
        </is>
      </c>
      <c r="O96" s="18" t="inlineStr">
        <is>
          <t>請Mike協助調1810測試站，第2點已完成</t>
        </is>
      </c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5" t="n">
        <v>153</v>
      </c>
      <c r="B97" s="15" t="inlineStr">
        <is>
          <t>前台問題追蹤表(ORD)</t>
        </is>
      </c>
      <c r="C97" s="15" t="inlineStr">
        <is>
          <t>24</t>
        </is>
      </c>
      <c r="D97" s="15" t="inlineStr">
        <is>
          <t>後台</t>
        </is>
      </c>
      <c r="E97" s="15" t="inlineStr">
        <is>
          <t>共用 / 待判斷</t>
        </is>
      </c>
      <c r="F97" s="15" t="inlineStr">
        <is>
          <t>後台沒有RWD</t>
        </is>
      </c>
      <c r="G97" s="15" t="inlineStr">
        <is>
          <t>功能/資料</t>
        </is>
      </c>
      <c r="H97" s="15" t="inlineStr">
        <is>
          <t>低</t>
        </is>
      </c>
      <c r="I97" s="15" t="inlineStr">
        <is>
          <t>M</t>
        </is>
      </c>
      <c r="J97" s="15" t="n">
        <v>1.5</v>
      </c>
      <c r="K97" s="15" t="inlineStr">
        <is>
          <t>待修</t>
        </is>
      </c>
      <c r="L97" s="15" t="inlineStr">
        <is>
          <t>未驗收</t>
        </is>
      </c>
      <c r="M97" s="15" t="n"/>
      <c r="N97" s="15" t="inlineStr">
        <is>
          <t>需依實際路由與功能檔案確認</t>
        </is>
      </c>
      <c r="O97" s="15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8" t="n">
        <v>154</v>
      </c>
      <c r="B98" s="18" t="inlineStr">
        <is>
          <t>前台問題追蹤表(ORD)</t>
        </is>
      </c>
      <c r="C98" s="18" t="inlineStr">
        <is>
          <t>30</t>
        </is>
      </c>
      <c r="D98" s="18" t="inlineStr">
        <is>
          <t>內頁/最新公告</t>
        </is>
      </c>
      <c r="E98" s="18" t="inlineStr">
        <is>
          <t>Announcement</t>
        </is>
      </c>
      <c r="F98" s="18" t="inlineStr">
        <is>
          <t>RWD縮小的表格可否比照1810舊站</t>
        </is>
      </c>
      <c r="G98" s="18" t="inlineStr">
        <is>
          <t>功能/資料</t>
        </is>
      </c>
      <c r="H98" s="18" t="inlineStr">
        <is>
          <t>低</t>
        </is>
      </c>
      <c r="I98" s="18" t="inlineStr">
        <is>
          <t>M</t>
        </is>
      </c>
      <c r="J98" s="18" t="n">
        <v>1.5</v>
      </c>
      <c r="K98" s="18" t="inlineStr">
        <is>
          <t>待修</t>
        </is>
      </c>
      <c r="L98" s="18" t="inlineStr">
        <is>
          <t>未驗收</t>
        </is>
      </c>
      <c r="M98" s="18" t="n"/>
      <c r="N98" s="18" t="inlineStr">
        <is>
          <t>src/Features/Pages/Server/BizFunc/WEB/Announcement；src/Features/Pages/Client/BizFunc/WEB/Announcement</t>
        </is>
      </c>
      <c r="O98" s="18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5" t="n">
        <v>155</v>
      </c>
      <c r="B99" s="15" t="inlineStr">
        <is>
          <t>前台問題追蹤表(ORD)</t>
        </is>
      </c>
      <c r="C99" s="15" t="inlineStr">
        <is>
          <t>96</t>
        </is>
      </c>
      <c r="D99" s="15" t="inlineStr">
        <is>
          <t>後臺排版</t>
        </is>
      </c>
      <c r="E99" s="15" t="inlineStr">
        <is>
          <t>共用 / 待判斷</t>
        </is>
      </c>
      <c r="F99" s="15" t="inlineStr">
        <is>
          <t>check box框框能否跟著標題一起，不要換行，會不曉得怎麼選</t>
        </is>
      </c>
      <c r="G99" s="15" t="inlineStr">
        <is>
          <t>UI/樣式</t>
        </is>
      </c>
      <c r="H99" s="15" t="inlineStr">
        <is>
          <t>低</t>
        </is>
      </c>
      <c r="I99" s="15" t="inlineStr">
        <is>
          <t>M</t>
        </is>
      </c>
      <c r="J99" s="15" t="n">
        <v>1.5</v>
      </c>
      <c r="K99" s="15" t="inlineStr">
        <is>
          <t>待修</t>
        </is>
      </c>
      <c r="L99" s="15" t="inlineStr">
        <is>
          <t>未驗收</t>
        </is>
      </c>
      <c r="M99" s="15" t="n"/>
      <c r="N99" s="15" t="inlineStr">
        <is>
          <t>需依實際路由與功能檔案確認</t>
        </is>
      </c>
      <c r="O99" s="15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8" t="n">
        <v>156</v>
      </c>
      <c r="B100" s="18" t="inlineStr">
        <is>
          <t>前台問題追蹤表(ORD)</t>
        </is>
      </c>
      <c r="C100" s="18" t="inlineStr">
        <is>
          <t>105</t>
        </is>
      </c>
      <c r="D100" s="18" t="inlineStr">
        <is>
          <t>表格欄寬調整優化</t>
        </is>
      </c>
      <c r="E100" s="18" t="inlineStr">
        <is>
          <t>共用 / 待判斷</t>
        </is>
      </c>
      <c r="F100" s="18" t="inlineStr">
        <is>
          <t>要讓使用者能鎖定表格欄寬大小，還需要能各自定住表格喔!不可以調A表格，結果BCDE都備受牽連</t>
        </is>
      </c>
      <c r="G100" s="18" t="inlineStr">
        <is>
          <t>功能/資料</t>
        </is>
      </c>
      <c r="H100" s="18" t="inlineStr">
        <is>
          <t>低</t>
        </is>
      </c>
      <c r="I100" s="18" t="inlineStr">
        <is>
          <t>M</t>
        </is>
      </c>
      <c r="J100" s="18" t="n">
        <v>1.5</v>
      </c>
      <c r="K100" s="18" t="inlineStr">
        <is>
          <t>待修</t>
        </is>
      </c>
      <c r="L100" s="18" t="inlineStr">
        <is>
          <t>未驗收</t>
        </is>
      </c>
      <c r="M100" s="18" t="n"/>
      <c r="N100" s="18" t="inlineStr">
        <is>
          <t>需依實際路由與功能檔案確認</t>
        </is>
      </c>
      <c r="O100" s="18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5" t="n">
        <v>157</v>
      </c>
      <c r="B101" s="15" t="inlineStr">
        <is>
          <t>前台問題追蹤表(ORD)</t>
        </is>
      </c>
      <c r="C101" s="15" t="inlineStr">
        <is>
          <t>113</t>
        </is>
      </c>
      <c r="D101" s="15" t="inlineStr">
        <is>
          <t>後台/公告</t>
        </is>
      </c>
      <c r="E101" s="15" t="inlineStr">
        <is>
          <t>Announcement</t>
        </is>
      </c>
      <c r="F101" s="15" t="inlineStr">
        <is>
          <t>許願可以複製公告的資料</t>
        </is>
      </c>
      <c r="G101" s="15" t="inlineStr">
        <is>
          <t>功能/資料</t>
        </is>
      </c>
      <c r="H101" s="15" t="inlineStr">
        <is>
          <t>低</t>
        </is>
      </c>
      <c r="I101" s="15" t="inlineStr">
        <is>
          <t>M</t>
        </is>
      </c>
      <c r="J101" s="15" t="n">
        <v>1.5</v>
      </c>
      <c r="K101" s="15" t="inlineStr">
        <is>
          <t>待修</t>
        </is>
      </c>
      <c r="L101" s="15" t="inlineStr">
        <is>
          <t>未驗收</t>
        </is>
      </c>
      <c r="M101" s="15" t="n"/>
      <c r="N101" s="15" t="inlineStr">
        <is>
          <t>src/Features/Pages/Server/BizFunc/WEB/Announcement；src/Features/Pages/Client/BizFunc/WEB/Announcement</t>
        </is>
      </c>
      <c r="O101" s="15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8" t="n">
        <v>158</v>
      </c>
      <c r="B102" s="18" t="inlineStr">
        <is>
          <t>前台問題追蹤表(ORD)</t>
        </is>
      </c>
      <c r="C102" s="18" t="inlineStr">
        <is>
          <t>127</t>
        </is>
      </c>
      <c r="D102" s="18" t="inlineStr">
        <is>
          <t>內頁/最新消息</t>
        </is>
      </c>
      <c r="E102" s="18" t="inlineStr">
        <is>
          <t>Announcement</t>
        </is>
      </c>
      <c r="F102" s="18" t="inlineStr">
        <is>
          <t>想呈現組別，可以等上線後再處理</t>
        </is>
      </c>
      <c r="G102" s="18" t="inlineStr">
        <is>
          <t>功能/資料</t>
        </is>
      </c>
      <c r="H102" s="18" t="inlineStr">
        <is>
          <t>低</t>
        </is>
      </c>
      <c r="I102" s="18" t="inlineStr">
        <is>
          <t>M</t>
        </is>
      </c>
      <c r="J102" s="18" t="n">
        <v>1.5</v>
      </c>
      <c r="K102" s="18" t="inlineStr">
        <is>
          <t>待修</t>
        </is>
      </c>
      <c r="L102" s="18" t="inlineStr">
        <is>
          <t>未驗收</t>
        </is>
      </c>
      <c r="M102" s="18" t="n"/>
      <c r="N102" s="18" t="inlineStr">
        <is>
          <t>src/Features/Pages/Server/BizFunc/WEB/Announcement；src/Features/Pages/Client/BizFunc/WEB/Announcement</t>
        </is>
      </c>
      <c r="O102" s="18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5" t="n">
        <v>159</v>
      </c>
      <c r="B103" s="15" t="inlineStr">
        <is>
          <t>前台問題追蹤表(ORD)</t>
        </is>
      </c>
      <c r="C103" s="15" t="inlineStr">
        <is>
          <t>126</t>
        </is>
      </c>
      <c r="D103" s="15" t="inlineStr">
        <is>
          <t>公告/狀態標籤(前台)</t>
        </is>
      </c>
      <c r="E103" s="15" t="inlineStr">
        <is>
          <t>Announcement</t>
        </is>
      </c>
      <c r="F103" s="15" t="inlineStr">
        <is>
          <t>內頁的狀態標籤沒有顯示</t>
        </is>
      </c>
      <c r="G103" s="15" t="inlineStr">
        <is>
          <t>功能/資料</t>
        </is>
      </c>
      <c r="H103" s="15" t="inlineStr">
        <is>
          <t>低</t>
        </is>
      </c>
      <c r="I103" s="15" t="inlineStr">
        <is>
          <t>M</t>
        </is>
      </c>
      <c r="J103" s="15" t="n">
        <v>2</v>
      </c>
      <c r="K103" s="15" t="inlineStr">
        <is>
          <t>退回，未通過</t>
        </is>
      </c>
      <c r="L103" s="15" t="inlineStr">
        <is>
          <t>複驗未通過</t>
        </is>
      </c>
      <c r="M103" s="15" t="n"/>
      <c r="N103" s="15" t="inlineStr">
        <is>
          <t>src/Features/Pages/Server/BizFunc/WEB/Announcement；src/Features/Pages/Client/BizFunc/WEB/Announcement</t>
        </is>
      </c>
      <c r="O103" s="15" t="n"/>
      <c r="P103" s="17" t="inlineStr">
        <is>
          <t>已依 GitHub main 複驗：AnnouncementForm 內頁目前只把 category/tag/date 放到 subTitle，ContentStatus 未傳入，也未渲染置頂/熱門/最新等狀態標籤；列表有標籤但內頁沒有。</t>
        </is>
      </c>
      <c r="Q103" s="17" t="inlineStr">
        <is>
          <t>2026-05-27</t>
        </is>
      </c>
      <c r="R103" s="17" t="inlineStr">
        <is>
          <t>不符合處：公告內頁狀態標籤未顯示。影響範圍：AnnouncementForm 內頁；列表與內頁資訊不一致，使用者無法在內頁辨識置頂/熱門等狀態。對應檔案：src/Features/Pages/Client/BizFunc/WEB/Announcement/AnnouncementForm.tsx、ModuleContent.tsx。建議：於 formData.Announcement.ContentStatus 解析標籤，放在標題區或 subTitle 旁；注意 aria-hidden 與文字可讀性。涉及 AA/UI。</t>
        </is>
      </c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8" t="n">
        <v>160</v>
      </c>
      <c r="B104" s="18" t="inlineStr">
        <is>
          <t>前台問題追蹤表(ORD)</t>
        </is>
      </c>
      <c r="C104" s="18" t="inlineStr">
        <is>
          <t>87</t>
        </is>
      </c>
      <c r="D104" s="18" t="inlineStr">
        <is>
          <t>後台/公告/列表</t>
        </is>
      </c>
      <c r="E104" s="18" t="inlineStr">
        <is>
          <t>Announcement</t>
        </is>
      </c>
      <c r="F104" s="18" t="inlineStr">
        <is>
          <t>自訂義欄位，使用者可自行調整欄位</t>
        </is>
      </c>
      <c r="G104" s="18" t="inlineStr">
        <is>
          <t>功能/資料</t>
        </is>
      </c>
      <c r="H104" s="18" t="inlineStr">
        <is>
          <t>低</t>
        </is>
      </c>
      <c r="I104" s="18" t="inlineStr">
        <is>
          <t>M</t>
        </is>
      </c>
      <c r="J104" s="18" t="n">
        <v>2</v>
      </c>
      <c r="K104" s="18" t="inlineStr">
        <is>
          <t>退回，未通過</t>
        </is>
      </c>
      <c r="L104" s="18" t="inlineStr">
        <is>
          <t>複驗未通過</t>
        </is>
      </c>
      <c r="M104" s="18" t="inlineStr">
        <is>
          <t>2026-05-27</t>
        </is>
      </c>
      <c r="N104" s="18" t="inlineStr">
        <is>
          <t>src/Features/Pages/Server/BizFunc/WEB/Announcement；src/Features/Pages/Client/BizFunc/WEB/Announcement</t>
        </is>
      </c>
      <c r="O104" s="18" t="inlineStr">
        <is>
          <t>開發中</t>
        </is>
      </c>
      <c r="P104" s="17" t="inlineStr">
        <is>
          <t>已依 GitHub main 複驗：公告後台列表目前欄位仍由 buildAnnouncementGridProps 的 visibleCols 靜態定義，僅有共用動作欄注入，未看到使用者可自行調整欄位的設定 UI 或欄位偏好保存流程。</t>
        </is>
      </c>
      <c r="Q104" s="17" t="inlineStr">
        <is>
          <t>2026-05-27</t>
        </is>
      </c>
      <c r="R104" s="17" t="inlineStr">
        <is>
          <t>不符合處：公告列表尚未提供「使用者可自行調整欄位」功能。影響範圍：後台公告列表欄位顯示與客製欄位需求。對應檔案：WCMS_Frontend/src/Features/Pages/Server/BizFunc/WEB/Announcement/Server_Announcement_List_Hook.ts、WCMS_Frontend/src/Features/Pages/Server/Scaffold/Content/GridAdjustCellEnhance.tsx。建議修正方向：在 ListGridTemplate 或公告列表補欄位設定 UI、欄位顯示偏好儲存/讀取機制，避免只用 visibleCols 寫死。涉及 UI/TypeScript/CSR；AA 需注意欄位設定按鈕與清單操作可鍵盤操作；SSR/弱掃/API 風險低。</t>
        </is>
      </c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5" t="n">
        <v>161</v>
      </c>
      <c r="B105" s="15" t="inlineStr">
        <is>
          <t>前台問題追蹤表(ORD)</t>
        </is>
      </c>
      <c r="C105" s="15" t="inlineStr">
        <is>
          <t>95</t>
        </is>
      </c>
      <c r="D105" s="15" t="inlineStr">
        <is>
          <t>後臺/
研究計畫
USR計畫</t>
        </is>
      </c>
      <c r="E105" s="15" t="inlineStr">
        <is>
          <t>SpecResearch / SpecUSR</t>
        </is>
      </c>
      <c r="F105" s="15" t="inlineStr">
        <is>
          <t>新增或編輯時，依選擇的類別(計畫名稱)，下方填表能出現前台呈現的欄位(記號或顏色都可以)</t>
        </is>
      </c>
      <c r="G105" s="15" t="inlineStr">
        <is>
          <t>功能/資料</t>
        </is>
      </c>
      <c r="H105" s="15" t="inlineStr">
        <is>
          <t>低</t>
        </is>
      </c>
      <c r="I105" s="15" t="inlineStr">
        <is>
          <t>M</t>
        </is>
      </c>
      <c r="J105" s="15" t="n">
        <v>2</v>
      </c>
      <c r="K105" s="15" t="inlineStr">
        <is>
          <t>處理中</t>
        </is>
      </c>
      <c r="L105" s="15" t="inlineStr">
        <is>
          <t>未驗收</t>
        </is>
      </c>
      <c r="M105" s="15" t="n"/>
      <c r="N105" s="15" t="inlineStr">
        <is>
          <t>src/SpecFetures/1810/Pages/Server/BizFunc/WEB/SpecResearch；SpecUSR</t>
        </is>
      </c>
      <c r="O105" s="15" t="inlineStr">
        <is>
          <t>開發中</t>
        </is>
      </c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conditionalFormatting sqref="H2:H105">
    <cfRule type="expression" priority="1" dxfId="4">
      <formula>$H2="緊急"</formula>
    </cfRule>
    <cfRule type="expression" priority="2" dxfId="5">
      <formula>$H2="高"</formula>
    </cfRule>
    <cfRule type="expression" priority="3" dxfId="6">
      <formula>$H2="中"</formula>
    </cfRule>
    <cfRule type="expression" priority="4" dxfId="7">
      <formula>$H2="低"</formula>
    </cfRule>
  </conditionalFormatting>
  <conditionalFormatting sqref="K2:K105">
    <cfRule type="expression" priority="5" dxfId="4">
      <formula>$K2="退回"</formula>
    </cfRule>
    <cfRule type="expression" priority="6" dxfId="5">
      <formula>$K2="待修"</formula>
    </cfRule>
    <cfRule type="expression" priority="7" dxfId="7">
      <formula>$K2="處理中"</formula>
    </cfRule>
    <cfRule type="expression" priority="8" dxfId="7">
      <formula>$K2="待規劃"</formula>
    </cfRule>
    <cfRule type="expression" priority="9" dxfId="7">
      <formula>$K2="待確認"</formula>
    </cfRule>
    <cfRule type="expression" priority="10" dxfId="8">
      <formula>$K2="待驗收"</formula>
    </cfRule>
    <cfRule type="expression" priority="11" dxfId="5">
      <formula>$K2="未驗收"</formula>
    </cfRule>
    <cfRule type="expression" priority="12" dxfId="7">
      <formula>$K2="已通過"</formula>
    </cfRule>
    <cfRule type="expression" priority="13" dxfId="7">
      <formula>$K2="通過"</formula>
    </cfRule>
    <cfRule type="expression" priority="14" dxfId="4">
      <formula>$K2="未通過"</formula>
    </cfRule>
  </conditionalFormatting>
  <conditionalFormatting sqref="L2:L105">
    <cfRule type="expression" priority="15" dxfId="4">
      <formula>$L2="退回"</formula>
    </cfRule>
    <cfRule type="expression" priority="16" dxfId="5">
      <formula>$L2="待修"</formula>
    </cfRule>
    <cfRule type="expression" priority="17" dxfId="7">
      <formula>$L2="處理中"</formula>
    </cfRule>
    <cfRule type="expression" priority="18" dxfId="7">
      <formula>$L2="待規劃"</formula>
    </cfRule>
    <cfRule type="expression" priority="19" dxfId="7">
      <formula>$L2="待確認"</formula>
    </cfRule>
    <cfRule type="expression" priority="20" dxfId="8">
      <formula>$L2="待驗收"</formula>
    </cfRule>
    <cfRule type="expression" priority="21" dxfId="5">
      <formula>$L2="未驗收"</formula>
    </cfRule>
    <cfRule type="expression" priority="22" dxfId="7">
      <formula>$L2="已通過"</formula>
    </cfRule>
    <cfRule type="expression" priority="23" dxfId="7">
      <formula>$L2="通過"</formula>
    </cfRule>
    <cfRule type="expression" priority="24" dxfId="4">
      <formula>$L2="未通過"</formula>
    </cfRule>
  </conditionalFormatting>
  <dataValidations count="4">
    <dataValidation sqref="H2:H105" showDropDown="0" showInputMessage="0" showErrorMessage="0" allowBlank="1" type="list">
      <formula1>'選單值'!$A$2:$A$5</formula1>
    </dataValidation>
    <dataValidation sqref="K2:K105" showDropDown="0" showInputMessage="0" showErrorMessage="0" allowBlank="1" type="list">
      <formula1>'選單值'!$C$2:$C$10</formula1>
    </dataValidation>
    <dataValidation sqref="I2:I105" showDropDown="0" showInputMessage="0" showErrorMessage="0" allowBlank="1" type="list">
      <formula1>'選單值'!$B$2:$B$5</formula1>
    </dataValidation>
    <dataValidation sqref="L2:L105" showDropDown="0" showInputMessage="0" showErrorMessage="0" allowBlank="1" type="list">
      <formula1>'選單值'!$D$2:$D$8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16" customWidth="1" style="21" min="2" max="2"/>
    <col width="8" customWidth="1" style="21" min="3" max="3"/>
    <col width="22" customWidth="1" style="21" min="4" max="5"/>
    <col width="38.13000106811523" customWidth="1" style="21" min="6" max="6"/>
    <col width="16" customWidth="1" style="21" min="7" max="7"/>
    <col width="12" customWidth="1" style="21" min="8" max="9"/>
    <col width="13" customWidth="1" style="21" min="10" max="10"/>
    <col width="19.1299991607666" customWidth="1" style="21" min="11" max="11"/>
    <col width="12" customWidth="1" style="21" min="12" max="12"/>
    <col width="13" customWidth="1" style="21" min="13" max="13"/>
    <col width="36" customWidth="1" style="21" min="14" max="14"/>
    <col width="42" customWidth="1" style="21" min="15" max="15"/>
    <col width="8.630000114440918" customWidth="1" style="21" min="16" max="18"/>
  </cols>
  <sheetData>
    <row r="1" ht="25.5" customHeight="1" s="21">
      <c r="A1" s="11" t="inlineStr">
        <is>
          <t>排序</t>
        </is>
      </c>
      <c r="B1" s="11" t="inlineStr">
        <is>
          <t>來源</t>
        </is>
      </c>
      <c r="C1" s="11" t="inlineStr">
        <is>
          <t>原始序號</t>
        </is>
      </c>
      <c r="D1" s="11" t="inlineStr">
        <is>
          <t>項目</t>
        </is>
      </c>
      <c r="E1" s="11" t="inlineStr">
        <is>
          <t>模組/對應功能</t>
        </is>
      </c>
      <c r="F1" s="11" t="inlineStr">
        <is>
          <t>問題/收斂內容</t>
        </is>
      </c>
      <c r="G1" s="11" t="inlineStr">
        <is>
          <t>類型</t>
        </is>
      </c>
      <c r="H1" s="11" t="inlineStr">
        <is>
          <t>重要性</t>
        </is>
      </c>
      <c r="I1" s="11" t="inlineStr">
        <is>
          <t>規模</t>
        </is>
      </c>
      <c r="J1" s="11" t="inlineStr">
        <is>
          <t>預計花費時間(hr)</t>
        </is>
      </c>
      <c r="K1" s="11" t="inlineStr">
        <is>
          <t>狀態</t>
        </is>
      </c>
      <c r="L1" s="11" t="inlineStr">
        <is>
          <t>結果</t>
        </is>
      </c>
      <c r="M1" s="11" t="inlineStr">
        <is>
          <t>完成日期</t>
        </is>
      </c>
      <c r="N1" s="11" t="inlineStr">
        <is>
          <t>專案對標/代表檔案</t>
        </is>
      </c>
      <c r="O1" s="11" t="inlineStr">
        <is>
          <t>驗收重點/備註</t>
        </is>
      </c>
      <c r="P1" s="12" t="inlineStr">
        <is>
          <t>複驗備註</t>
        </is>
      </c>
      <c r="Q1" s="12" t="inlineStr">
        <is>
          <t>複驗日期</t>
        </is>
      </c>
      <c r="R1" s="12" t="inlineStr">
        <is>
          <t>退回原因</t>
        </is>
      </c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18" t="n">
        <v>1</v>
      </c>
      <c r="B2" s="18" t="inlineStr">
        <is>
          <t>測試站後台問題表(wcms)</t>
        </is>
      </c>
      <c r="C2" s="18" t="inlineStr">
        <is>
          <t>29</t>
        </is>
      </c>
      <c r="D2" s="18" t="inlineStr">
        <is>
          <t>新增/標題</t>
        </is>
      </c>
      <c r="E2" s="18" t="inlineStr">
        <is>
          <t>Announcement</t>
        </is>
      </c>
      <c r="F2" s="18" t="inlineStr">
        <is>
          <t>標題無法輸入空格</t>
        </is>
      </c>
      <c r="G2" s="18" t="inlineStr">
        <is>
          <t>功能/資料</t>
        </is>
      </c>
      <c r="H2" s="18" t="inlineStr">
        <is>
          <t>緊急</t>
        </is>
      </c>
      <c r="I2" s="18" t="inlineStr">
        <is>
          <t>S</t>
        </is>
      </c>
      <c r="J2" s="18" t="n">
        <v>1</v>
      </c>
      <c r="K2" s="18" t="inlineStr">
        <is>
          <t>已完成</t>
        </is>
      </c>
      <c r="L2" s="18" t="inlineStr">
        <is>
          <t>複驗通過</t>
        </is>
      </c>
      <c r="M2" s="18" t="inlineStr">
        <is>
          <t>2026-05-27</t>
        </is>
      </c>
      <c r="N2" s="18" t="inlineStr">
        <is>
          <t>src/Features/Pages/Server/BizFunc/WEB/Announcement；src/Features/Pages/Client/...</t>
        </is>
      </c>
      <c r="O2" s="18" t="inlineStr">
        <is>
          <t>已完成</t>
        </is>
      </c>
      <c r="P2" s="17" t="inlineStr">
        <is>
          <t>已依 GitHub main 複驗：公告標題欄位使用 LibTextBox 直接以輸入值 onChange 寫回 FormData，未看到前端 trim 或禁止空白輸入；後端僅檢查預設語系標題是否 IsNullOrEmpty，未限制標題中包含空格。AA/SSR/CSR/弱掃/API 風險低，屬表單輸入行為修正。</t>
        </is>
      </c>
      <c r="Q2" s="17" t="inlineStr">
        <is>
          <t>2026-05-27</t>
        </is>
      </c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15" t="n">
        <v>2</v>
      </c>
      <c r="B3" s="15" t="inlineStr">
        <is>
          <t>測試站後台問題表(wcms)</t>
        </is>
      </c>
      <c r="C3" s="15" t="inlineStr">
        <is>
          <t>30</t>
        </is>
      </c>
      <c r="D3" s="15" t="inlineStr">
        <is>
          <t>標籤</t>
        </is>
      </c>
      <c r="E3" s="15" t="inlineStr">
        <is>
          <t>Announcement</t>
        </is>
      </c>
      <c r="F3" s="15" t="inlineStr">
        <is>
          <t>新增公告沒有選標籤時，前台只會顯示標題，但內容寫資料載入中</t>
        </is>
      </c>
      <c r="G3" s="15" t="inlineStr">
        <is>
          <t>SSR/渲染</t>
        </is>
      </c>
      <c r="H3" s="15" t="inlineStr">
        <is>
          <t>緊急</t>
        </is>
      </c>
      <c r="I3" s="15" t="inlineStr">
        <is>
          <t>S</t>
        </is>
      </c>
      <c r="J3" s="15" t="n">
        <v>1</v>
      </c>
      <c r="K3" s="15" t="inlineStr">
        <is>
          <t>已完成</t>
        </is>
      </c>
      <c r="L3" s="15" t="inlineStr">
        <is>
          <t>複驗通過</t>
        </is>
      </c>
      <c r="M3" s="15" t="inlineStr">
        <is>
          <t>2026-05-27</t>
        </is>
      </c>
      <c r="N3" s="15" t="inlineStr">
        <is>
          <t>src/Features/Pages/Server/BizFunc/WEB/Announcement；src/Features/Pages/Client/...</t>
        </is>
      </c>
      <c r="O3" s="15" t="inlineStr">
        <is>
          <t>已完成</t>
        </is>
      </c>
      <c r="P3" s="17" t="inlineStr">
        <is>
          <t>已依 GitHub main 複驗：前台 AnnouncementForm 會以 QueryList 載入單筆資料，分類/標籤文字由 map 轉換；Tags 空值時 buildNameTextByMap 回傳空字串，ModuleContent 仍會渲染標題與內容，不會因未選標籤而只剩標題或卡在資料載入中。涉及 SSR/CSR/UI，程式層通過。</t>
        </is>
      </c>
      <c r="Q3" s="17" t="inlineStr">
        <is>
          <t>2026-05-27</t>
        </is>
      </c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18" t="n">
        <v>3</v>
      </c>
      <c r="B4" s="18" t="inlineStr">
        <is>
          <t>測試站後台問題表(wcms)</t>
        </is>
      </c>
      <c r="C4" s="18" t="inlineStr">
        <is>
          <t>113</t>
        </is>
      </c>
      <c r="D4" s="18" t="inlineStr">
        <is>
          <t>後台登入畫面</t>
        </is>
      </c>
      <c r="E4" s="18" t="inlineStr">
        <is>
          <t>IAM / Auth</t>
        </is>
      </c>
      <c r="F4" s="18" t="inlineStr">
        <is>
          <t>1. 研發後台登入畫面LOGO換成台藝大研發處，
2.下方"了解監控管理系統方案"和"國際暢行官網"拿掉
3.最下方只留"Copyright © 2025...</t>
        </is>
      </c>
      <c r="G4" s="18" t="inlineStr">
        <is>
          <t>帳號/權限</t>
        </is>
      </c>
      <c r="H4" s="18" t="inlineStr">
        <is>
          <t>緊急</t>
        </is>
      </c>
      <c r="I4" s="18" t="inlineStr">
        <is>
          <t>S</t>
        </is>
      </c>
      <c r="J4" s="18" t="n">
        <v>1</v>
      </c>
      <c r="K4" s="18" t="inlineStr">
        <is>
          <t>退回，未通過</t>
        </is>
      </c>
      <c r="L4" s="18" t="inlineStr">
        <is>
          <t>複驗未通過</t>
        </is>
      </c>
      <c r="M4" s="18" t="n"/>
      <c r="N4" s="18" t="inlineStr">
        <is>
          <t>Features/IAM；src/Features/Pages/Server/BizFunc/IAM</t>
        </is>
      </c>
      <c r="O4" s="18" t="inlineStr">
        <is>
          <t>已完成</t>
        </is>
      </c>
      <c r="P4" s="17" t="inlineStr">
        <is>
          <t>已依 GitHub main 複驗：後台 LoginPage 雖已移除原本下方「了解監控管理系統方案／國際暢行官網」區塊，但 LOGO title/alt 仍是「國際暢行科技 LOGO」，頁尾仍顯示 design by it-easygo 連結，且帳號 label 的 htmlFor="email" 與 input id="account" 不一致，未完全符合研發處登入頁收斂需求。</t>
        </is>
      </c>
      <c r="Q4" s="17" t="inlineStr">
        <is>
          <t>2026-05-27</t>
        </is>
      </c>
      <c r="R4" s="17" t="inlineStr">
        <is>
          <t>不符合處：登入頁品牌文案與頁尾尚未完全依需求調整，且帳號 label/htmlFor 對應錯誤。影響範圍：後台登入頁品牌呈現、AA label 對應與鍵盤/讀屏辨識。對應檔案：WCMS_Frontend/src/Features/Pages/Server/BizFunc/IAM/Auth/LoginPage.tsx。建議修正方向：改用台藝大研發處 LOGO title/alt；頁尾只保留需求指定 Copyright 文字，移除 design by it-easygo 連結；修正 label htmlFor="account"。涉及 AA/UI。</t>
        </is>
      </c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15" t="n">
        <v>5</v>
      </c>
      <c r="B5" s="15" t="inlineStr">
        <is>
          <t>測試站後台問題表(wcms)</t>
        </is>
      </c>
      <c r="C5" s="15" t="inlineStr">
        <is>
          <t>62</t>
        </is>
      </c>
      <c r="D5" s="15" t="inlineStr">
        <is>
          <t>公告、頁面/編輯器youtube功能</t>
        </is>
      </c>
      <c r="E5" s="15" t="inlineStr">
        <is>
          <t>Announcement</t>
        </is>
      </c>
      <c r="F5" s="15" t="inlineStr">
        <is>
          <t>點開應該要顯示原檔案的資訊內容，而不是空白</t>
        </is>
      </c>
      <c r="G5" s="15" t="inlineStr">
        <is>
          <t>檔案/媒體</t>
        </is>
      </c>
      <c r="H5" s="15" t="inlineStr">
        <is>
          <t>緊急</t>
        </is>
      </c>
      <c r="I5" s="15" t="inlineStr">
        <is>
          <t>M</t>
        </is>
      </c>
      <c r="J5" s="15" t="n">
        <v>1.5</v>
      </c>
      <c r="K5" s="15" t="inlineStr">
        <is>
          <t>已完成</t>
        </is>
      </c>
      <c r="L5" s="15" t="inlineStr">
        <is>
          <t>複驗通過</t>
        </is>
      </c>
      <c r="M5" s="15" t="inlineStr">
        <is>
          <t>2026-05-27</t>
        </is>
      </c>
      <c r="N5" s="15" t="inlineStr">
        <is>
          <t>src/Features/Pages/Server/BizFunc/WEB/Announcement；src/Features/Pages/Client/...</t>
        </is>
      </c>
      <c r="O5" s="15" t="inlineStr">
        <is>
          <t>1.5hr</t>
        </is>
      </c>
      <c r="P5" s="17" t="inlineStr">
        <is>
          <t>已依 GitHub main 複驗：TinyMCE 已提供 useTinyMceIframeEdit，編輯既有 iframe 時會讀回 src/title/width/height 作為 initialData，並於套用時同步 iframe 屬性與 wrapper 快取欄位，避免再次點開變空白。涉及 UI/CSR，程式層通過。</t>
        </is>
      </c>
      <c r="Q5" s="17" t="inlineStr">
        <is>
          <t>2026-05-27</t>
        </is>
      </c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18" t="n">
        <v>6</v>
      </c>
      <c r="B6" s="18" t="inlineStr">
        <is>
          <t>測試站後台問題表(wcms)</t>
        </is>
      </c>
      <c r="C6" s="18" t="inlineStr">
        <is>
          <t>40</t>
        </is>
      </c>
      <c r="D6" s="18" t="inlineStr">
        <is>
          <t>相簿/新增、編輯</t>
        </is>
      </c>
      <c r="E6" s="18" t="inlineStr">
        <is>
          <t>Gallery</t>
        </is>
      </c>
      <c r="F6" s="18" t="inlineStr">
        <is>
          <t>沒有【排序編號】設定欄位</t>
        </is>
      </c>
      <c r="G6" s="18" t="inlineStr">
        <is>
          <t>排序/狀態</t>
        </is>
      </c>
      <c r="H6" s="18" t="inlineStr">
        <is>
          <t>緊急</t>
        </is>
      </c>
      <c r="I6" s="18" t="inlineStr">
        <is>
          <t>M</t>
        </is>
      </c>
      <c r="J6" s="18" t="n">
        <v>2</v>
      </c>
      <c r="K6" s="18" t="inlineStr">
        <is>
          <t>待規劃</t>
        </is>
      </c>
      <c r="L6" s="18" t="inlineStr">
        <is>
          <t>未驗收</t>
        </is>
      </c>
      <c r="M6" s="18" t="n"/>
      <c r="N6" s="18" t="inlineStr">
        <is>
          <t>src/Features/Pages/Server/BizFunc/WEB/Gallery；src/Features/Pages/Client/BizFu...</t>
        </is>
      </c>
      <c r="O6" s="18" t="inlineStr">
        <is>
          <t>改用置頂/隱藏規則來處理</t>
        </is>
      </c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5" t="n">
        <v>7</v>
      </c>
      <c r="B7" s="15" t="inlineStr">
        <is>
          <t>測試站後台問題表(wcms)</t>
        </is>
      </c>
      <c r="C7" s="15" t="inlineStr">
        <is>
          <t>53</t>
        </is>
      </c>
      <c r="D7" s="15" t="inlineStr">
        <is>
          <t>研究計畫、
USR計畫</t>
        </is>
      </c>
      <c r="E7" s="15" t="inlineStr">
        <is>
          <t>SpecResearch / SpecUSR</t>
        </is>
      </c>
      <c r="F7" s="15" t="inlineStr">
        <is>
          <t>沒有【排序編號】設定欄位</t>
        </is>
      </c>
      <c r="G7" s="15" t="inlineStr">
        <is>
          <t>排序/狀態</t>
        </is>
      </c>
      <c r="H7" s="15" t="inlineStr">
        <is>
          <t>緊急</t>
        </is>
      </c>
      <c r="I7" s="15" t="inlineStr">
        <is>
          <t>M</t>
        </is>
      </c>
      <c r="J7" s="15" t="n">
        <v>2</v>
      </c>
      <c r="K7" s="15" t="inlineStr">
        <is>
          <t>待規劃</t>
        </is>
      </c>
      <c r="L7" s="15" t="inlineStr">
        <is>
          <t>未驗收</t>
        </is>
      </c>
      <c r="M7" s="15" t="n"/>
      <c r="N7" s="15" t="inlineStr">
        <is>
          <t>src/SpecFetures/1810/Pages/Server/BizFunc/WEB/SpecResearch；SpecUSR</t>
        </is>
      </c>
      <c r="O7" s="15" t="inlineStr">
        <is>
          <t>改用置頂/隱藏規則來處理</t>
        </is>
      </c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8" t="n">
        <v>8</v>
      </c>
      <c r="B8" s="18" t="inlineStr">
        <is>
          <t>測試站後台問題表(wcms)</t>
        </is>
      </c>
      <c r="C8" s="18" t="inlineStr">
        <is>
          <t>76</t>
        </is>
      </c>
      <c r="D8" s="18" t="inlineStr">
        <is>
          <t>網路資源/新增、編輯</t>
        </is>
      </c>
      <c r="E8" s="18" t="inlineStr">
        <is>
          <t>WebResource</t>
        </is>
      </c>
      <c r="F8" s="18" t="inlineStr">
        <is>
          <t>沒有【排序編號】設定欄位</t>
        </is>
      </c>
      <c r="G8" s="18" t="inlineStr">
        <is>
          <t>排序/狀態</t>
        </is>
      </c>
      <c r="H8" s="18" t="inlineStr">
        <is>
          <t>緊急</t>
        </is>
      </c>
      <c r="I8" s="18" t="inlineStr">
        <is>
          <t>M</t>
        </is>
      </c>
      <c r="J8" s="18" t="n">
        <v>2</v>
      </c>
      <c r="K8" s="18" t="inlineStr">
        <is>
          <t>待規劃</t>
        </is>
      </c>
      <c r="L8" s="18" t="inlineStr">
        <is>
          <t>未驗收</t>
        </is>
      </c>
      <c r="M8" s="18" t="n"/>
      <c r="N8" s="18" t="inlineStr">
        <is>
          <t>src/Features/Pages/Server/BizFunc/WEB/WebResource；src/Features/Pages/Client/B...</t>
        </is>
      </c>
      <c r="O8" s="18" t="inlineStr">
        <is>
          <t>待確認需求</t>
        </is>
      </c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5" t="n">
        <v>9</v>
      </c>
      <c r="B9" s="15" t="inlineStr">
        <is>
          <t>測試站後台問題表(wcms)</t>
        </is>
      </c>
      <c r="C9" s="15" t="inlineStr">
        <is>
          <t>8</t>
        </is>
      </c>
      <c r="D9" s="15" t="inlineStr">
        <is>
          <t>公告/編輯器</t>
        </is>
      </c>
      <c r="E9" s="15" t="inlineStr">
        <is>
          <t>Announcement</t>
        </is>
      </c>
      <c r="F9" s="15" t="inlineStr">
        <is>
          <t>google map無法顯示</t>
        </is>
      </c>
      <c r="G9" s="15" t="inlineStr">
        <is>
          <t>功能/資料</t>
        </is>
      </c>
      <c r="H9" s="15" t="inlineStr">
        <is>
          <t>緊急</t>
        </is>
      </c>
      <c r="I9" s="15" t="inlineStr">
        <is>
          <t>M</t>
        </is>
      </c>
      <c r="J9" s="15" t="n">
        <v>2</v>
      </c>
      <c r="K9" s="15" t="inlineStr">
        <is>
          <t>已完成</t>
        </is>
      </c>
      <c r="L9" s="15" t="inlineStr">
        <is>
          <t>複驗通過</t>
        </is>
      </c>
      <c r="M9" s="15" t="inlineStr">
        <is>
          <t>2026-05-27</t>
        </is>
      </c>
      <c r="N9" s="15" t="inlineStr">
        <is>
          <t>src/Features/Pages/Server/BizFunc/WEB/Announcement；src/Features/Pages/Client/...</t>
        </is>
      </c>
      <c r="O9" s="15" t="inlineStr">
        <is>
          <t>後台編輯模式google map仍有一片空白問題，放後處理</t>
        </is>
      </c>
      <c r="P9" s="26" t="inlineStr">
        <is>
          <t>已依本次 ZIP 複驗：TinyMCE 已提供「插入 IFrame（YouTube / Google Map）」按鈕，會插入 iframe；CSPSetting 也允許 www.google.com、maps.google.com、maps.googleapis.com、maps.gstatic.com 等 frame/connect/img 來源，程式層可支援 Google Map 顯示。對應檔案：TinyMCE_Hook.ts、SSR/CSPSetting.ts。</t>
        </is>
      </c>
      <c r="Q9" s="26" t="inlineStr">
        <is>
          <t>2026-05-27</t>
        </is>
      </c>
      <c r="R9" s="26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8" t="n">
        <v>10</v>
      </c>
      <c r="B10" s="18" t="inlineStr">
        <is>
          <t>測試站後台問題表(wcms)</t>
        </is>
      </c>
      <c r="C10" s="18" t="inlineStr">
        <is>
          <t>18</t>
        </is>
      </c>
      <c r="D10" s="18" t="inlineStr">
        <is>
          <t>公告/新增</t>
        </is>
      </c>
      <c r="E10" s="18" t="inlineStr">
        <is>
          <t>Announcement</t>
        </is>
      </c>
      <c r="F10" s="18" t="inlineStr">
        <is>
          <t>未勾選類別也可正常儲存？請跳出提示訊息增加防呆機制（功能同CK Editor）</t>
        </is>
      </c>
      <c r="G10" s="18" t="inlineStr">
        <is>
          <t>功能/資料</t>
        </is>
      </c>
      <c r="H10" s="18" t="inlineStr">
        <is>
          <t>緊急</t>
        </is>
      </c>
      <c r="I10" s="18" t="inlineStr">
        <is>
          <t>M</t>
        </is>
      </c>
      <c r="J10" s="18" t="n">
        <v>2</v>
      </c>
      <c r="K10" s="18" t="inlineStr">
        <is>
          <t>已完成</t>
        </is>
      </c>
      <c r="L10" s="18" t="inlineStr">
        <is>
          <t>複驗通過</t>
        </is>
      </c>
      <c r="M10" s="18" t="inlineStr">
        <is>
          <t>2026-05-27</t>
        </is>
      </c>
      <c r="N10" s="18" t="inlineStr">
        <is>
          <t>src/Features/Pages/Server/BizFunc/WEB/Announcement；src/Features/Pages/Client/...</t>
        </is>
      </c>
      <c r="O10" s="18" t="inlineStr">
        <is>
          <t>後端BeforeUpdate檢查
類別空時會跳出訊提</t>
        </is>
      </c>
      <c r="P10" s="17" t="inlineStr">
        <is>
          <t>已依 GitHub main 複驗：公告後端 AnnouncementBiz.BeforeUpdate 在 Create/Update 會執行 CheckData；Categories 為空字串時加入錯誤訊息，前端類別欄位以 csv 策略未勾選會送出空字串，因此未勾選類別可正常擋下。API 直打 null 仍建議後續補 IsNullOrEmpty，但不影響目前後台表單路徑驗收。</t>
        </is>
      </c>
      <c r="Q10" s="17" t="inlineStr">
        <is>
          <t>2026-05-27</t>
        </is>
      </c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5" t="n">
        <v>11</v>
      </c>
      <c r="B11" s="15" t="inlineStr">
        <is>
          <t>測試站後台問題表(wcms)</t>
        </is>
      </c>
      <c r="C11" s="15" t="inlineStr">
        <is>
          <t>19</t>
        </is>
      </c>
      <c r="D11" s="15" t="inlineStr">
        <is>
          <t>公告/新增</t>
        </is>
      </c>
      <c r="E11" s="15" t="inlineStr">
        <is>
          <t>Announcement</t>
        </is>
      </c>
      <c r="F11" s="15" t="inlineStr">
        <is>
          <t>類別、上下架日期、標題，以上三大項目請增加提示訊息防呆機制，未填寫一律無法儲存（目前全空白都可以儲存）</t>
        </is>
      </c>
      <c r="G11" s="15" t="inlineStr">
        <is>
          <t>排序/狀態</t>
        </is>
      </c>
      <c r="H11" s="15" t="inlineStr">
        <is>
          <t>緊急</t>
        </is>
      </c>
      <c r="I11" s="15" t="inlineStr">
        <is>
          <t>M</t>
        </is>
      </c>
      <c r="J11" s="15" t="n">
        <v>2</v>
      </c>
      <c r="K11" s="15" t="inlineStr">
        <is>
          <t>退回，未通過</t>
        </is>
      </c>
      <c r="L11" s="15" t="inlineStr">
        <is>
          <t>複驗未通過</t>
        </is>
      </c>
      <c r="M11" s="15" t="n"/>
      <c r="N11" s="15" t="inlineStr">
        <is>
          <t>src/Features/Pages/Server/BizFunc/WEB/Announcement；src/Features/Pages/Client/...</t>
        </is>
      </c>
      <c r="O11" s="15" t="inlineStr">
        <is>
          <t>後端BeforeUpdate檢查
類別空時會跳出訊提
上架日期未填　
下架日期　＜　上架日期　跳錯誤訊息
標題需要另外做錯誤的訊息</t>
        </is>
      </c>
      <c r="P11" s="17" t="inlineStr">
        <is>
          <t>已依 GitHub main 複驗：AnnouncementBiz.CheckDateIsEmpty 已檢查上架日期、下架日期不可小於/等於上架日期、類別空字串、預設語系標題；但未檢查 Validate_End 為 null。若需求中的「上下架日期」代表上架與下架都必填，目前下架日期空值仍會通過。</t>
        </is>
      </c>
      <c r="Q11" s="17" t="inlineStr">
        <is>
          <t>2026-05-27</t>
        </is>
      </c>
      <c r="R11" s="17" t="inlineStr">
        <is>
          <t>不符合處：公告新增/編輯防呆未完整檢查「下架日期必填」，目前 Validate_End 為 null 不會產生錯誤。影響範圍：公告後台新增/編輯、前台有效日期判斷資料完整性。對應檔案：WCMS_Backend/Features/WEB/Announcement/Announcement_Biz.cs、WCMS_Frontend/src/Features/Pages/Server/BizFunc/WEB/Announcement/Server_Announcement_Form_Comp.tsx。建議修正方向：CheckDateIsEmpty 追加 Validate_End 空值檢查，並建議 Categories 使用 IsNullOrEmpty/IsNullOrWhiteSpace 防直接 API 繞過。涉及 API / UI / TypeScript 表單送值 / SSR 前台資料有效期顯示風險；弱掃風險低。</t>
        </is>
      </c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8" t="n">
        <v>12</v>
      </c>
      <c r="B12" s="18" t="inlineStr">
        <is>
          <t>測試站後台問題表(wcms)</t>
        </is>
      </c>
      <c r="C12" s="18" t="inlineStr">
        <is>
          <t>24</t>
        </is>
      </c>
      <c r="D12" s="18" t="inlineStr">
        <is>
          <t>公告/列表</t>
        </is>
      </c>
      <c r="E12" s="18" t="inlineStr">
        <is>
          <t>Announcement</t>
        </is>
      </c>
      <c r="F12" s="18" t="inlineStr">
        <is>
          <t>Search box無作用</t>
        </is>
      </c>
      <c r="G12" s="18" t="inlineStr">
        <is>
          <t>搜尋</t>
        </is>
      </c>
      <c r="H12" s="18" t="inlineStr">
        <is>
          <t>緊急</t>
        </is>
      </c>
      <c r="I12" s="18" t="inlineStr">
        <is>
          <t>M</t>
        </is>
      </c>
      <c r="J12" s="18" t="n">
        <v>2</v>
      </c>
      <c r="K12" s="18" t="inlineStr">
        <is>
          <t>已完成</t>
        </is>
      </c>
      <c r="L12" s="18" t="inlineStr">
        <is>
          <t>複驗通過</t>
        </is>
      </c>
      <c r="M12" s="18" t="inlineStr">
        <is>
          <t>2026-05-27</t>
        </is>
      </c>
      <c r="N12" s="18" t="inlineStr">
        <is>
          <t>src/Features/Pages/Server/BizFunc/WEB/Announcement；src/Features/Pages/Client/...</t>
        </is>
      </c>
      <c r="O12" s="18" t="inlineStr">
        <is>
          <t>可先搜尋關鍵字，但
類別和標籤尚無法搜尋</t>
        </is>
      </c>
      <c r="P12" s="17" t="inlineStr">
        <is>
          <t>已依 GitHub main 複驗：公告後台列表已接 Server_SearchBar，useAnnouncementListGridTemplate 會建立標題文字搜尋與分類下拉搜尋；送出後會組 Title Like 與 Categories HasAny 條件。此列原問題「Search box 無作用」已修正；標籤搜尋若另列需求，建議另開項目追蹤。</t>
        </is>
      </c>
      <c r="Q12" s="17" t="inlineStr">
        <is>
          <t>2026-05-27</t>
        </is>
      </c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5" t="n">
        <v>13</v>
      </c>
      <c r="B13" s="15" t="inlineStr">
        <is>
          <t>測試站後台問題表(wcms)</t>
        </is>
      </c>
      <c r="C13" s="15" t="inlineStr">
        <is>
          <t>25</t>
        </is>
      </c>
      <c r="D13" s="15" t="inlineStr">
        <is>
          <t>公告/編輯</t>
        </is>
      </c>
      <c r="E13" s="15" t="inlineStr">
        <is>
          <t>Announcement</t>
        </is>
      </c>
      <c r="F13" s="15" t="inlineStr">
        <is>
          <t>【育成成長講座】智慧創作不觸法＞＞編輯此公告後列表就再也找不到了冏...，也無法搜尋</t>
        </is>
      </c>
      <c r="G13" s="15" t="inlineStr">
        <is>
          <t>搜尋</t>
        </is>
      </c>
      <c r="H13" s="15" t="inlineStr">
        <is>
          <t>緊急</t>
        </is>
      </c>
      <c r="I13" s="15" t="inlineStr">
        <is>
          <t>M</t>
        </is>
      </c>
      <c r="J13" s="15" t="n">
        <v>2</v>
      </c>
      <c r="K13" s="15" t="inlineStr">
        <is>
          <t>已完成</t>
        </is>
      </c>
      <c r="L13" s="15" t="inlineStr">
        <is>
          <t>複驗通過</t>
        </is>
      </c>
      <c r="M13" s="15" t="inlineStr">
        <is>
          <t>2026-05-27</t>
        </is>
      </c>
      <c r="N13" s="15" t="inlineStr">
        <is>
          <t>src/Features/Pages/Server/BizFunc/WEB/Announcement；src/Features/Pages/Client/...</t>
        </is>
      </c>
      <c r="O13" s="15" t="inlineStr">
        <is>
          <t>CreateTime/CreateUserId被update洗掉導致</t>
        </is>
      </c>
      <c r="P13" s="17" t="inlineStr">
        <is>
          <t>已依 GitHub main 複驗：BizService.DoUpdateAsync 更新 header 前會把 oldModel 的 CreateUserId、CreateTime 回填到 newModel，再交給 repository 逐欄位更新，可避免編輯公告後 CreateTime/CreateUserId 被洗掉而影響列表排序/搜尋。</t>
        </is>
      </c>
      <c r="Q13" s="17" t="inlineStr">
        <is>
          <t>2026-05-27</t>
        </is>
      </c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8" t="n">
        <v>14</v>
      </c>
      <c r="B14" s="18" t="inlineStr">
        <is>
          <t>測試站後台問題表(wcms)</t>
        </is>
      </c>
      <c r="C14" s="18" t="inlineStr">
        <is>
          <t>31</t>
        </is>
      </c>
      <c r="D14" s="18" t="inlineStr">
        <is>
          <t>公告日期</t>
        </is>
      </c>
      <c r="E14" s="18" t="inlineStr">
        <is>
          <t>Announcement</t>
        </is>
      </c>
      <c r="F14" s="18" t="inlineStr">
        <is>
          <t>選擇公告日期為10/20，但儲存完後日期會變成10/19</t>
        </is>
      </c>
      <c r="G14" s="18" t="inlineStr">
        <is>
          <t>功能/資料</t>
        </is>
      </c>
      <c r="H14" s="18" t="inlineStr">
        <is>
          <t>緊急</t>
        </is>
      </c>
      <c r="I14" s="18" t="inlineStr">
        <is>
          <t>M</t>
        </is>
      </c>
      <c r="J14" s="18" t="n">
        <v>2</v>
      </c>
      <c r="K14" s="18" t="inlineStr">
        <is>
          <t>已完成</t>
        </is>
      </c>
      <c r="L14" s="18" t="inlineStr">
        <is>
          <t>複驗通過</t>
        </is>
      </c>
      <c r="M14" s="18" t="inlineStr">
        <is>
          <t>2026-05-27</t>
        </is>
      </c>
      <c r="N14" s="18" t="inlineStr">
        <is>
          <t>src/Features/Pages/Server/BizFunc/WEB/Announcement；src/Features/Pages/Client/...</t>
        </is>
      </c>
      <c r="O14" s="18" t="inlineStr">
        <is>
          <t>UTC時間Bug</t>
        </is>
      </c>
      <c r="P14" s="17" t="inlineStr">
        <is>
          <t>已依 GitHub main 複驗：LibCalendar 選日期與手輸日期都輸出 yyyy-MM-dd；useSetTableField 的 datetime coerce 對字串會保留原始 YYYY-MM-DD，不再轉成 toISOString，避免因 UTC 轉換導致 10/20 儲存成 10/19。涉及 UI/TypeScript/API 日期序列化，程式層通過。</t>
        </is>
      </c>
      <c r="Q14" s="17" t="inlineStr">
        <is>
          <t>2026-05-27</t>
        </is>
      </c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5" t="n">
        <v>15</v>
      </c>
      <c r="B15" s="15" t="inlineStr">
        <is>
          <t>測試站後台問題表(wcms)</t>
        </is>
      </c>
      <c r="C15" s="15" t="inlineStr">
        <is>
          <t>35</t>
        </is>
      </c>
      <c r="D15" s="15" t="inlineStr">
        <is>
          <t>相簿</t>
        </is>
      </c>
      <c r="E15" s="15" t="inlineStr">
        <is>
          <t>Gallery</t>
        </is>
      </c>
      <c r="F15" s="15" t="inlineStr">
        <is>
          <t>相簿和相片都無法刪除</t>
        </is>
      </c>
      <c r="G15" s="15" t="inlineStr">
        <is>
          <t>功能/資料</t>
        </is>
      </c>
      <c r="H15" s="15" t="inlineStr">
        <is>
          <t>緊急</t>
        </is>
      </c>
      <c r="I15" s="15" t="inlineStr">
        <is>
          <t>M</t>
        </is>
      </c>
      <c r="J15" s="15" t="n">
        <v>2</v>
      </c>
      <c r="K15" s="15" t="inlineStr">
        <is>
          <t>已完成</t>
        </is>
      </c>
      <c r="L15" s="15" t="inlineStr">
        <is>
          <t>複驗通過</t>
        </is>
      </c>
      <c r="M15" s="15" t="inlineStr">
        <is>
          <t>2026-05-27</t>
        </is>
      </c>
      <c r="N15" s="15" t="inlineStr">
        <is>
          <t>src/Features/Pages/Server/BizFunc/WEB/Gallery；src/Features/Pages/Client/BizFu...</t>
        </is>
      </c>
      <c r="O15" s="15" t="inlineStr">
        <is>
          <t>在確認驗證</t>
        </is>
      </c>
      <c r="P15" s="17" t="inlineStr">
        <is>
          <t>已依 GitHub main 複驗：Gallery 後台列表已由 createGridCrudActions 注入 edit/delete，刪除後 refetch；相片明細也有 usePhotoRemove 會同步移除 GalleryPhotos 與 GalleryPhotosInfo，並於封面刪除時回補下一張封面。相簿與相片刪除流程程式層通過，涉及 UI/CSR/API。</t>
        </is>
      </c>
      <c r="Q15" s="17" t="inlineStr">
        <is>
          <t>2026-05-27</t>
        </is>
      </c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8" t="n">
        <v>16</v>
      </c>
      <c r="B16" s="18" t="inlineStr">
        <is>
          <t>測試站後台問題表(wcms)</t>
        </is>
      </c>
      <c r="C16" s="18" t="inlineStr">
        <is>
          <t>39</t>
        </is>
      </c>
      <c r="D16" s="18" t="inlineStr">
        <is>
          <t>相簿/列表</t>
        </is>
      </c>
      <c r="E16" s="18" t="inlineStr">
        <is>
          <t>Gallery</t>
        </is>
      </c>
      <c r="F16" s="18" t="inlineStr">
        <is>
          <t>無法刪除相簿</t>
        </is>
      </c>
      <c r="G16" s="18" t="inlineStr">
        <is>
          <t>功能/資料</t>
        </is>
      </c>
      <c r="H16" s="18" t="inlineStr">
        <is>
          <t>緊急</t>
        </is>
      </c>
      <c r="I16" s="18" t="inlineStr">
        <is>
          <t>M</t>
        </is>
      </c>
      <c r="J16" s="18" t="n">
        <v>2</v>
      </c>
      <c r="K16" s="18" t="inlineStr">
        <is>
          <t>已完成</t>
        </is>
      </c>
      <c r="L16" s="18" t="inlineStr">
        <is>
          <t>複驗通過</t>
        </is>
      </c>
      <c r="M16" s="18" t="inlineStr">
        <is>
          <t>2026-05-27</t>
        </is>
      </c>
      <c r="N16" s="18" t="inlineStr">
        <is>
          <t>src/Features/Pages/Server/BizFunc/WEB/Gallery；src/Features/Pages/Client/BizFu...</t>
        </is>
      </c>
      <c r="O16" s="18" t="inlineStr">
        <is>
          <t>同41(應該)</t>
        </is>
      </c>
      <c r="P16" s="17" t="inlineStr">
        <is>
          <t>已依 GitHub main 複驗：Gallery 列表 buildGridProps 會透過 enhanceGalleryGrid 注入刪除動作，deleteAsync 成功後會 afterDelete/refetchData，因此「列表無法刪除相簿」程式層已處理。涉及 UI/API。</t>
        </is>
      </c>
      <c r="Q16" s="17" t="inlineStr">
        <is>
          <t>2026-05-27</t>
        </is>
      </c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5" t="n">
        <v>17</v>
      </c>
      <c r="B17" s="15" t="inlineStr">
        <is>
          <t>測試站後台問題表(wcms)</t>
        </is>
      </c>
      <c r="C17" s="15" t="inlineStr">
        <is>
          <t>80</t>
        </is>
      </c>
      <c r="D17" s="15" t="inlineStr">
        <is>
          <t>網路資源/新增、編輯</t>
        </is>
      </c>
      <c r="E17" s="15" t="inlineStr">
        <is>
          <t>WebResource</t>
        </is>
      </c>
      <c r="F17" s="15" t="inlineStr">
        <is>
          <t>新增/編輯資料後無法正常儲存</t>
        </is>
      </c>
      <c r="G17" s="15" t="inlineStr">
        <is>
          <t>功能/資料</t>
        </is>
      </c>
      <c r="H17" s="15" t="inlineStr">
        <is>
          <t>緊急</t>
        </is>
      </c>
      <c r="I17" s="15" t="inlineStr">
        <is>
          <t>M</t>
        </is>
      </c>
      <c r="J17" s="15" t="n">
        <v>2</v>
      </c>
      <c r="K17" s="15" t="inlineStr">
        <is>
          <t>已完成</t>
        </is>
      </c>
      <c r="L17" s="15" t="inlineStr">
        <is>
          <t>複驗通過</t>
        </is>
      </c>
      <c r="M17" s="15" t="inlineStr">
        <is>
          <t>2026-05-27</t>
        </is>
      </c>
      <c r="N17" s="15" t="inlineStr">
        <is>
          <t>src/Features/Pages/Server/BizFunc/WEB/WebResource；src/Features/Pages/Client/B...</t>
        </is>
      </c>
      <c r="O17" s="15" t="inlineStr">
        <is>
          <t>已完成</t>
        </is>
      </c>
      <c r="P17" s="17" t="inlineStr">
        <is>
          <t>第十七批依本次 ZIP 複驗：WebResource 後台表單已透過 Server_WebResource_Form_Hook 的 create/update actions 儲存，成功後導回列表；表單欄位含類別、狀態、標籤、圖片與多語 ResUrl / Url_OpenType，新增與編輯流程已具備。</t>
        </is>
      </c>
      <c r="Q17" s="17" t="inlineStr">
        <is>
          <t>2026-05-27</t>
        </is>
      </c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8" t="n">
        <v>18</v>
      </c>
      <c r="B18" s="18" t="inlineStr">
        <is>
          <t>測試站後台問題表(wcms)</t>
        </is>
      </c>
      <c r="C18" s="18" t="inlineStr">
        <is>
          <t>114</t>
        </is>
      </c>
      <c r="D18" s="18" t="inlineStr">
        <is>
          <t>登入後後台畫面</t>
        </is>
      </c>
      <c r="E18" s="18" t="inlineStr">
        <is>
          <t>IAM / Auth</t>
        </is>
      </c>
      <c r="F18" s="18" t="inlineStr">
        <is>
          <t>1. 左上LOGO改成研發處LOGO
2. 上排列表紅框處隱藏</t>
        </is>
      </c>
      <c r="G18" s="18" t="inlineStr">
        <is>
          <t>UI/樣式</t>
        </is>
      </c>
      <c r="H18" s="18" t="inlineStr">
        <is>
          <t>緊急</t>
        </is>
      </c>
      <c r="I18" s="18" t="inlineStr">
        <is>
          <t>M</t>
        </is>
      </c>
      <c r="J18" s="18" t="n">
        <v>2</v>
      </c>
      <c r="K18" s="18" t="inlineStr">
        <is>
          <t>待驗收</t>
        </is>
      </c>
      <c r="L18" s="18" t="inlineStr">
        <is>
          <t>待驗收</t>
        </is>
      </c>
      <c r="M18" s="18" t="n"/>
      <c r="N18" s="18" t="inlineStr">
        <is>
          <t>Features/IAM；src/Features/Pages/Server/BizFunc/IAM</t>
        </is>
      </c>
      <c r="O18" s="18" t="inlineStr">
        <is>
          <t>已完成</t>
        </is>
      </c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5" t="n">
        <v>19</v>
      </c>
      <c r="B19" s="15" t="inlineStr">
        <is>
          <t>測試站後台問題表(wcms)</t>
        </is>
      </c>
      <c r="C19" s="15" t="inlineStr">
        <is>
          <t>129</t>
        </is>
      </c>
      <c r="D19" s="15" t="inlineStr">
        <is>
          <t>下架日期</t>
        </is>
      </c>
      <c r="E19" s="15" t="inlineStr">
        <is>
          <t>Banner</t>
        </is>
      </c>
      <c r="F19" s="15" t="inlineStr">
        <is>
          <t>廣告輪播的下架日期到了，前台則不顯示</t>
        </is>
      </c>
      <c r="G19" s="15" t="inlineStr">
        <is>
          <t>排序/狀態</t>
        </is>
      </c>
      <c r="H19" s="15" t="inlineStr">
        <is>
          <t>緊急</t>
        </is>
      </c>
      <c r="I19" s="15" t="inlineStr">
        <is>
          <t>M</t>
        </is>
      </c>
      <c r="J19" s="15" t="n">
        <v>4</v>
      </c>
      <c r="K19" s="15" t="inlineStr">
        <is>
          <t>待修</t>
        </is>
      </c>
      <c r="L19" s="15" t="inlineStr">
        <is>
          <t>未驗收</t>
        </is>
      </c>
      <c r="M19" s="15" t="n"/>
      <c r="N19" s="15" t="inlineStr">
        <is>
          <t>src/Features/Pages/Server/BizFunc/WEB/Banner；src/Features/WEB/Banner</t>
        </is>
      </c>
      <c r="O19" s="15" t="inlineStr">
        <is>
          <t>全部的下架日期功能Kevin要一起做</t>
        </is>
      </c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5.75" customHeight="1" s="21">
      <c r="A20" s="18" t="n">
        <v>20</v>
      </c>
      <c r="B20" s="18" t="inlineStr">
        <is>
          <t>測試站後台問題表(wcms)</t>
        </is>
      </c>
      <c r="C20" s="18" t="inlineStr">
        <is>
          <t>141</t>
        </is>
      </c>
      <c r="D20" s="18" t="inlineStr">
        <is>
          <t>頁面PDF</t>
        </is>
      </c>
      <c r="E20" s="18" t="inlineStr">
        <is>
          <t>FileArchive / 檔案資源</t>
        </is>
      </c>
      <c r="F20" s="18" t="inlineStr">
        <is>
          <t>無法另開視窗直接查看，點擊後只能下載</t>
        </is>
      </c>
      <c r="G20" s="18" t="inlineStr">
        <is>
          <t>檔案/媒體</t>
        </is>
      </c>
      <c r="H20" s="18" t="inlineStr">
        <is>
          <t>緊急</t>
        </is>
      </c>
      <c r="I20" s="18" t="inlineStr">
        <is>
          <t>M</t>
        </is>
      </c>
      <c r="J20" s="18" t="n">
        <v>4</v>
      </c>
      <c r="K20" s="18" t="inlineStr">
        <is>
          <t>已完成</t>
        </is>
      </c>
      <c r="L20" s="18" t="inlineStr">
        <is>
          <t>複驗通過</t>
        </is>
      </c>
      <c r="M20" s="18" t="inlineStr">
        <is>
          <t>2026-05-27</t>
        </is>
      </c>
      <c r="N20" s="18" t="inlineStr">
        <is>
          <t>src/Features/Pages/Server/BizFunc/WEB/FileArchive；src/Features/Pages/Client/B...</t>
        </is>
      </c>
      <c r="O20" s="18" t="inlineStr">
        <is>
          <t>已先跟Kevin說</t>
        </is>
      </c>
      <c r="P20" s="17" t="inlineStr">
        <is>
          <t>已依 GitHub main 複驗：FileArchive 前台下載欄位會判斷 pdf 副檔名改用 Public_Preview 並 target=_blank；後端 Public/Server Preview 也以 inline Content-Disposition 回傳 PDF，支援瀏覽器另開預覽，不再只能下載。涉及 UI/API，程式層通過。</t>
        </is>
      </c>
      <c r="Q20" s="17" t="inlineStr">
        <is>
          <t>2026-05-27</t>
        </is>
      </c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5" t="n">
        <v>21</v>
      </c>
      <c r="B21" s="15" t="inlineStr">
        <is>
          <t>測試站後台問題表(wcms)</t>
        </is>
      </c>
      <c r="C21" s="15" t="inlineStr">
        <is>
          <t>143</t>
        </is>
      </c>
      <c r="D21" s="15" t="inlineStr">
        <is>
          <t>相簿</t>
        </is>
      </c>
      <c r="E21" s="15" t="inlineStr">
        <is>
          <t>Gallery</t>
        </is>
      </c>
      <c r="F21" s="15" t="inlineStr">
        <is>
          <t>前一秒還能上傳相片，下一秒就沒反應惹～</t>
        </is>
      </c>
      <c r="G21" s="15" t="inlineStr">
        <is>
          <t>檔案/媒體</t>
        </is>
      </c>
      <c r="H21" s="15" t="inlineStr">
        <is>
          <t>緊急</t>
        </is>
      </c>
      <c r="I21" s="15" t="inlineStr">
        <is>
          <t>M</t>
        </is>
      </c>
      <c r="J21" s="15" t="n">
        <v>4</v>
      </c>
      <c r="K21" s="15" t="inlineStr">
        <is>
          <t>待修</t>
        </is>
      </c>
      <c r="L21" s="15" t="inlineStr">
        <is>
          <t>未驗收</t>
        </is>
      </c>
      <c r="M21" s="15" t="n"/>
      <c r="N21" s="15" t="inlineStr">
        <is>
          <t>src/Features/Pages/Server/BizFunc/WEB/Gallery；src/Features/Pages/Client/BizFu...</t>
        </is>
      </c>
      <c r="O21" s="15" t="inlineStr">
        <is>
          <t>已先跟Kevin說</t>
        </is>
      </c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8" t="n">
        <v>22</v>
      </c>
      <c r="B22" s="18" t="inlineStr">
        <is>
          <t>測試站後台問題表(wcms)</t>
        </is>
      </c>
      <c r="C22" s="18" t="inlineStr">
        <is>
          <t>16</t>
        </is>
      </c>
      <c r="D22" s="18" t="inlineStr">
        <is>
          <t>公告/新增、編輯</t>
        </is>
      </c>
      <c r="E22" s="18" t="inlineStr">
        <is>
          <t>Announcement</t>
        </is>
      </c>
      <c r="F22" s="18" t="inlineStr">
        <is>
          <t>新增iFrame：
1/ 設定完成後再次點進去資料都會不見
2/ 寬度留空，但不會=100%
3/ 寬度設定100%，介面不會顯示100%，但預覽有？</t>
        </is>
      </c>
      <c r="G22" s="18" t="inlineStr">
        <is>
          <t>編輯器</t>
        </is>
      </c>
      <c r="H22" s="18" t="inlineStr">
        <is>
          <t>緊急</t>
        </is>
      </c>
      <c r="I22" s="18" t="inlineStr">
        <is>
          <t>M</t>
        </is>
      </c>
      <c r="J22" s="18" t="n">
        <v>4</v>
      </c>
      <c r="K22" s="18" t="inlineStr">
        <is>
          <t>已完成</t>
        </is>
      </c>
      <c r="L22" s="18" t="inlineStr">
        <is>
          <t>複驗通過</t>
        </is>
      </c>
      <c r="M22" s="18" t="inlineStr">
        <is>
          <t>2026-05-27</t>
        </is>
      </c>
      <c r="N22" s="18" t="inlineStr">
        <is>
          <t>src/Features/Pages/Server/BizFunc/WEB/Announcement；src/Features/Pages/Client/...</t>
        </is>
      </c>
      <c r="O22" s="18" t="inlineStr">
        <is>
          <t>再請Cara協助看有無css可特別處理</t>
        </is>
      </c>
      <c r="P22" s="17" t="inlineStr">
        <is>
          <t>已依 GitHub main 複驗：TinyMCE insertiframe 會在寬度空白時正規化為 100%，高度空白時給 360，並保留 iframe extended_valid_elements；既有 iframe 編輯會讀回 src/title/width/height 並同步 wrapper 快取，避免再次點進資料消失。涉及 UI/AA/CSR，程式層通過。</t>
        </is>
      </c>
      <c r="Q22" s="17" t="inlineStr">
        <is>
          <t>2026-05-27</t>
        </is>
      </c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5" t="n">
        <v>23</v>
      </c>
      <c r="B23" s="15" t="inlineStr">
        <is>
          <t>測試站後台問題表(wcms)</t>
        </is>
      </c>
      <c r="C23" s="15" t="inlineStr">
        <is>
          <t>98</t>
        </is>
      </c>
      <c r="D23" s="15" t="inlineStr">
        <is>
          <t>檔案室/新增、編輯</t>
        </is>
      </c>
      <c r="E23" s="15" t="inlineStr">
        <is>
          <t>FileArchive / 檔案資源</t>
        </is>
      </c>
      <c r="F23" s="15" t="inlineStr">
        <is>
          <t>沒有【排序編號】設定欄位</t>
        </is>
      </c>
      <c r="G23" s="15" t="inlineStr">
        <is>
          <t>排序/狀態</t>
        </is>
      </c>
      <c r="H23" s="15" t="inlineStr">
        <is>
          <t>緊急</t>
        </is>
      </c>
      <c r="I23" s="15" t="inlineStr">
        <is>
          <t>M</t>
        </is>
      </c>
      <c r="J23" s="15" t="n">
        <v>4</v>
      </c>
      <c r="K23" s="15" t="inlineStr">
        <is>
          <t>待規劃</t>
        </is>
      </c>
      <c r="L23" s="15" t="inlineStr">
        <is>
          <t>未驗收</t>
        </is>
      </c>
      <c r="M23" s="15" t="n"/>
      <c r="N23" s="15" t="inlineStr">
        <is>
          <t>src/Features/Pages/Server/BizFunc/WEB/FileArchive；src/Features/Pages/Client/B...</t>
        </is>
      </c>
      <c r="O23" s="15" t="inlineStr">
        <is>
          <t>待談排序欄位功能</t>
        </is>
      </c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8" t="n">
        <v>24</v>
      </c>
      <c r="B24" s="18" t="inlineStr">
        <is>
          <t>測試站後台問題表(wcms)</t>
        </is>
      </c>
      <c r="C24" s="18" t="inlineStr">
        <is>
          <t>4</t>
        </is>
      </c>
      <c r="D24" s="18" t="inlineStr">
        <is>
          <t>公告</t>
        </is>
      </c>
      <c r="E24" s="18" t="inlineStr">
        <is>
          <t>Announcement</t>
        </is>
      </c>
      <c r="F24" s="18" t="inlineStr">
        <is>
          <t>內文有上傳圖片，但前台顯示不出來</t>
        </is>
      </c>
      <c r="G24" s="18" t="inlineStr">
        <is>
          <t>檔案/媒體</t>
        </is>
      </c>
      <c r="H24" s="18" t="inlineStr">
        <is>
          <t>緊急</t>
        </is>
      </c>
      <c r="I24" s="18" t="inlineStr">
        <is>
          <t>M</t>
        </is>
      </c>
      <c r="J24" s="18" t="n">
        <v>4</v>
      </c>
      <c r="K24" s="18" t="inlineStr">
        <is>
          <t>已完成</t>
        </is>
      </c>
      <c r="L24" s="18" t="inlineStr">
        <is>
          <t>複驗通過</t>
        </is>
      </c>
      <c r="M24" s="18" t="inlineStr">
        <is>
          <t>2026-05-27</t>
        </is>
      </c>
      <c r="N24" s="18" t="inlineStr">
        <is>
          <t>src/Features/Pages/Server/BizFunc/WEB/Announcement；src/Features/Pages/Client/...</t>
        </is>
      </c>
      <c r="O24" s="18" t="inlineStr">
        <is>
          <t>已完成</t>
        </is>
      </c>
      <c r="P24" s="17" t="inlineStr">
        <is>
          <t>已依 GitHub main 複驗：TinyMCE 圖片會以 data-internalid 保存，前台 CmsHtml_Transform 會把 img/iframe/video/audio/source 的 data-internalid 轉成 Public_Preview URL，並補 alt/loading/decoding，公告內文圖片前台渲染流程已具備。涉及 SSR/CSR/AA/UI，程式層通過。</t>
        </is>
      </c>
      <c r="Q24" s="17" t="inlineStr">
        <is>
          <t>2026-05-27</t>
        </is>
      </c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5" t="n">
        <v>25</v>
      </c>
      <c r="B25" s="15" t="inlineStr">
        <is>
          <t>測試站後台問題表(wcms)</t>
        </is>
      </c>
      <c r="C25" s="15" t="inlineStr">
        <is>
          <t>7</t>
        </is>
      </c>
      <c r="D25" s="15" t="inlineStr">
        <is>
          <t>公告/編輯器無法key字</t>
        </is>
      </c>
      <c r="E25" s="15" t="inlineStr">
        <is>
          <t>Announcement</t>
        </is>
      </c>
      <c r="F25" s="15" t="inlineStr">
        <is>
          <t>1. 會亂跳掉，還會刪到前面的字
2. 夾帶檔案無法更改標題
3. 無法輸入中文</t>
        </is>
      </c>
      <c r="G25" s="15" t="inlineStr">
        <is>
          <t>檔案/媒體</t>
        </is>
      </c>
      <c r="H25" s="15" t="inlineStr">
        <is>
          <t>緊急</t>
        </is>
      </c>
      <c r="I25" s="15" t="inlineStr">
        <is>
          <t>M</t>
        </is>
      </c>
      <c r="J25" s="15" t="n">
        <v>4</v>
      </c>
      <c r="K25" s="15" t="inlineStr">
        <is>
          <t>已完成</t>
        </is>
      </c>
      <c r="L25" s="15" t="inlineStr">
        <is>
          <t>複驗通過</t>
        </is>
      </c>
      <c r="M25" s="15" t="inlineStr">
        <is>
          <t>2026-05-27</t>
        </is>
      </c>
      <c r="N25" s="15" t="inlineStr">
        <is>
          <t>src/Features/Pages/Server/BizFunc/WEB/Announcement；src/Features/Pages/Client/...</t>
        </is>
      </c>
      <c r="O25" s="15" t="inlineStr">
        <is>
          <t>已完成</t>
        </is>
      </c>
      <c r="P25" s="17" t="inlineStr">
        <is>
          <t>已依 GitHub main 複驗：TinyMCE 已處理 compositionstart/compositionend，組字中不回推，降低中文輸入亂跳/刪字風險；附件 LibFileInput 也提供可編輯檔名欄位 onNameChange。涉及 CSR/UI/TypeScript，程式層通過。</t>
        </is>
      </c>
      <c r="Q25" s="17" t="inlineStr">
        <is>
          <t>2026-05-27</t>
        </is>
      </c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8" t="n">
        <v>26</v>
      </c>
      <c r="B26" s="18" t="inlineStr">
        <is>
          <t>測試站後台問題表(wcms)</t>
        </is>
      </c>
      <c r="C26" s="18" t="inlineStr">
        <is>
          <t>38</t>
        </is>
      </c>
      <c r="D26" s="18" t="inlineStr">
        <is>
          <t>相簿/新增、編輯</t>
        </is>
      </c>
      <c r="E26" s="18" t="inlineStr">
        <is>
          <t>Gallery</t>
        </is>
      </c>
      <c r="F26" s="18" t="inlineStr">
        <is>
          <t>無法上傳圖片（點擊無反應）</t>
        </is>
      </c>
      <c r="G26" s="18" t="inlineStr">
        <is>
          <t>檔案/媒體</t>
        </is>
      </c>
      <c r="H26" s="18" t="inlineStr">
        <is>
          <t>緊急</t>
        </is>
      </c>
      <c r="I26" s="18" t="inlineStr">
        <is>
          <t>M</t>
        </is>
      </c>
      <c r="J26" s="18" t="n">
        <v>4</v>
      </c>
      <c r="K26" s="18" t="inlineStr">
        <is>
          <t>已完成</t>
        </is>
      </c>
      <c r="L26" s="18" t="inlineStr">
        <is>
          <t>複驗通過</t>
        </is>
      </c>
      <c r="M26" s="18" t="inlineStr">
        <is>
          <t>2026-05-27</t>
        </is>
      </c>
      <c r="N26" s="18" t="inlineStr">
        <is>
          <t>src/Features/Pages/Server/BizFunc/WEB/Gallery；src/Features/Pages/Client/BizFu...</t>
        </is>
      </c>
      <c r="O26" s="18" t="inlineStr">
        <is>
          <t>BS有時異常</t>
        </is>
      </c>
      <c r="P26" s="17" t="inlineStr">
        <is>
          <t>已依 GitHub main 複驗：Gallery 上傳圖片透過 LibModal + LibFile 多選，handleUpload 會逐檔呼叫 Server_UploadTemp，成功後 appendPhotosToForm 寫入 GalleryPhotos 並自動補第一張為 CoverPicSrcId；點擊上傳/儲存流程程式層通過。涉及 UI/CSR/API。</t>
        </is>
      </c>
      <c r="Q26" s="17" t="inlineStr">
        <is>
          <t>2026-05-27</t>
        </is>
      </c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5" t="n">
        <v>27</v>
      </c>
      <c r="B27" s="15" t="inlineStr">
        <is>
          <t>測試站後台問題表(wcms)</t>
        </is>
      </c>
      <c r="C27" s="15" t="inlineStr">
        <is>
          <t>99</t>
        </is>
      </c>
      <c r="D27" s="15" t="inlineStr">
        <is>
          <t>檔案室</t>
        </is>
      </c>
      <c r="E27" s="15" t="inlineStr">
        <is>
          <t>FileArchive / 檔案資源</t>
        </is>
      </c>
      <c r="F27" s="15" t="inlineStr">
        <is>
          <t>無法查看下載已成功上傳的檔案，1810有此功能，能否加上？</t>
        </is>
      </c>
      <c r="G27" s="15" t="inlineStr">
        <is>
          <t>檔案/媒體</t>
        </is>
      </c>
      <c r="H27" s="15" t="inlineStr">
        <is>
          <t>緊急</t>
        </is>
      </c>
      <c r="I27" s="15" t="inlineStr">
        <is>
          <t>M</t>
        </is>
      </c>
      <c r="J27" s="15" t="n">
        <v>4</v>
      </c>
      <c r="K27" s="15" t="inlineStr">
        <is>
          <t>已完成</t>
        </is>
      </c>
      <c r="L27" s="15" t="inlineStr">
        <is>
          <t>複驗通過</t>
        </is>
      </c>
      <c r="M27" s="15" t="inlineStr">
        <is>
          <t>2026-05-27</t>
        </is>
      </c>
      <c r="N27" s="15" t="inlineStr">
        <is>
          <t>src/Features/Pages/Server/BizFunc/WEB/FileArchive；src/Features/Pages/Client/B...</t>
        </is>
      </c>
      <c r="O27" s="15" t="inlineStr">
        <is>
          <t>已完成</t>
        </is>
      </c>
      <c r="P27" s="17" t="inlineStr">
        <is>
          <t>已依 GitHub main 複驗：FileArchive 後台表單附件使用 LibFileInput，已上傳檔案可透過 FileInternalId 產生 Server_Download 連結並支援 Enter/Space 開啟；檔名欄位也可編輯。涉及 UI/AA/API，程式層通過。</t>
        </is>
      </c>
      <c r="Q27" s="17" t="inlineStr">
        <is>
          <t>2026-05-27</t>
        </is>
      </c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8" t="n">
        <v>28</v>
      </c>
      <c r="B28" s="18" t="inlineStr">
        <is>
          <t>測試站後台問題表(wcms)</t>
        </is>
      </c>
      <c r="C28" s="18" t="inlineStr">
        <is>
          <t>100</t>
        </is>
      </c>
      <c r="D28" s="18" t="inlineStr">
        <is>
          <t>檔案室/新增、編輯</t>
        </is>
      </c>
      <c r="E28" s="18" t="inlineStr">
        <is>
          <t>FileArchive / 檔案資源</t>
        </is>
      </c>
      <c r="F28" s="18" t="inlineStr">
        <is>
          <t>新增附件時若同時有2+以上的夾帶檔案，若其中一個沒有夾帶附件時也可儲存送出，但再次進入後發現連同剛剛上傳的附件都不見了</t>
        </is>
      </c>
      <c r="G28" s="18" t="inlineStr">
        <is>
          <t>檔案/媒體</t>
        </is>
      </c>
      <c r="H28" s="18" t="inlineStr">
        <is>
          <t>緊急</t>
        </is>
      </c>
      <c r="I28" s="18" t="inlineStr">
        <is>
          <t>M</t>
        </is>
      </c>
      <c r="J28" s="18" t="n">
        <v>4</v>
      </c>
      <c r="K28" s="18" t="inlineStr">
        <is>
          <t>已完成</t>
        </is>
      </c>
      <c r="L28" s="18" t="inlineStr">
        <is>
          <t>複驗通過</t>
        </is>
      </c>
      <c r="M28" s="18" t="inlineStr">
        <is>
          <t>2026-05-27</t>
        </is>
      </c>
      <c r="N28" s="18" t="inlineStr">
        <is>
          <t>src/Features/Pages/Server/BizFunc/WEB/FileArchive；src/Features/Pages/Client/B...</t>
        </is>
      </c>
      <c r="O28" s="18" t="inlineStr">
        <is>
          <t>已完成</t>
        </is>
      </c>
      <c r="P28" s="17" t="inlineStr">
        <is>
          <t>已依 GitHub main 複驗：FileArchive 前端新增附件列可保留多筆 FileArchiveDetail；後端 FileArchiveBiz.SetData 會呼叫 RemoveEmptyFileSrcData，把 FileSrcId 空白的附件列移除，因此 2 筆以上附件中有空列時不應影響已上傳附件保存。涉及 API/資料防呆，程式層通過。</t>
        </is>
      </c>
      <c r="Q28" s="17" t="inlineStr">
        <is>
          <t>2026-05-27</t>
        </is>
      </c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5" t="n">
        <v>29</v>
      </c>
      <c r="B29" s="15" t="inlineStr">
        <is>
          <t>測試站後台問題表(wcms)</t>
        </is>
      </c>
      <c r="C29" s="15" t="inlineStr">
        <is>
          <t>101</t>
        </is>
      </c>
      <c r="D29" s="15" t="inlineStr">
        <is>
          <t>檔案室/列表</t>
        </is>
      </c>
      <c r="E29" s="15" t="inlineStr">
        <is>
          <t>FileArchive / 檔案資源</t>
        </is>
      </c>
      <c r="F29" s="15" t="inlineStr">
        <is>
          <t>列表頁數無法顯示目前所在哪一頁</t>
        </is>
      </c>
      <c r="G29" s="15" t="inlineStr">
        <is>
          <t>檔案/媒體</t>
        </is>
      </c>
      <c r="H29" s="15" t="inlineStr">
        <is>
          <t>緊急</t>
        </is>
      </c>
      <c r="I29" s="15" t="inlineStr">
        <is>
          <t>M</t>
        </is>
      </c>
      <c r="J29" s="15" t="n">
        <v>4</v>
      </c>
      <c r="K29" s="15" t="inlineStr">
        <is>
          <t>已完成</t>
        </is>
      </c>
      <c r="L29" s="15" t="inlineStr">
        <is>
          <t>複驗通過</t>
        </is>
      </c>
      <c r="M29" s="15" t="inlineStr">
        <is>
          <t>2026-05-27</t>
        </is>
      </c>
      <c r="N29" s="15" t="inlineStr">
        <is>
          <t>src/Features/Pages/Server/BizFunc/WEB/FileArchive；src/Features/Pages/Client/B...</t>
        </is>
      </c>
      <c r="O29" s="15" t="inlineStr">
        <is>
          <t>同18</t>
        </is>
      </c>
      <c r="P29" s="17" t="inlineStr">
        <is>
          <t>已依 GitHub main 複驗：FileArchiveList 將 pageNumber、totalPages、onPageChange 包入 GridProps，ModuleContent 也接收 paginatorProps 渲染 NewPaginatorCanInputPage；列表目前頁數顯示流程程式層已具備。涉及 UI/CSR。</t>
        </is>
      </c>
      <c r="Q29" s="17" t="inlineStr">
        <is>
          <t>2026-05-27</t>
        </is>
      </c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8" t="n">
        <v>30</v>
      </c>
      <c r="B30" s="18" t="inlineStr">
        <is>
          <t>測試站後台問題表(wcms)</t>
        </is>
      </c>
      <c r="C30" s="18" t="inlineStr">
        <is>
          <t>104</t>
        </is>
      </c>
      <c r="D30" s="18" t="inlineStr">
        <is>
          <t>新增、編輯</t>
        </is>
      </c>
      <c r="E30" s="18" t="inlineStr">
        <is>
          <t>Announcement</t>
        </is>
      </c>
      <c r="F30" s="18" t="inlineStr">
        <is>
          <t>TinyMCE＞重複上傳檔案異常</t>
        </is>
      </c>
      <c r="G30" s="18" t="inlineStr">
        <is>
          <t>檔案/媒體</t>
        </is>
      </c>
      <c r="H30" s="18" t="inlineStr">
        <is>
          <t>緊急</t>
        </is>
      </c>
      <c r="I30" s="18" t="inlineStr">
        <is>
          <t>M</t>
        </is>
      </c>
      <c r="J30" s="18" t="n">
        <v>4</v>
      </c>
      <c r="K30" s="18" t="inlineStr">
        <is>
          <t>待驗收</t>
        </is>
      </c>
      <c r="L30" s="18" t="inlineStr">
        <is>
          <t>待驗收</t>
        </is>
      </c>
      <c r="M30" s="18" t="n"/>
      <c r="N30" s="18" t="inlineStr">
        <is>
          <t>src/Features/Pages/Server/BizFunc/WEB/Announcement；src/Features/Pages/Client/...</t>
        </is>
      </c>
      <c r="O30" s="18" t="inlineStr">
        <is>
          <t>已完成</t>
        </is>
      </c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5" t="n">
        <v>31</v>
      </c>
      <c r="B31" s="15" t="inlineStr">
        <is>
          <t>測試站後台問題表(wcms)</t>
        </is>
      </c>
      <c r="C31" s="15" t="inlineStr">
        <is>
          <t>122</t>
        </is>
      </c>
      <c r="D31" s="15" t="inlineStr">
        <is>
          <t>檔案室</t>
        </is>
      </c>
      <c r="E31" s="15" t="inlineStr">
        <is>
          <t>FileArchive / 檔案資源</t>
        </is>
      </c>
      <c r="F31" s="15" t="inlineStr">
        <is>
          <t>無法上傳odt檔案格式惹（上星期還可以～）</t>
        </is>
      </c>
      <c r="G31" s="15" t="inlineStr">
        <is>
          <t>檔案/媒體</t>
        </is>
      </c>
      <c r="H31" s="15" t="inlineStr">
        <is>
          <t>緊急</t>
        </is>
      </c>
      <c r="I31" s="15" t="inlineStr">
        <is>
          <t>M</t>
        </is>
      </c>
      <c r="J31" s="15" t="n">
        <v>4</v>
      </c>
      <c r="K31" s="15" t="inlineStr">
        <is>
          <t>已完成</t>
        </is>
      </c>
      <c r="L31" s="15" t="inlineStr">
        <is>
          <t>複驗通過</t>
        </is>
      </c>
      <c r="M31" s="15" t="inlineStr">
        <is>
          <t>2026-05-27</t>
        </is>
      </c>
      <c r="N31" s="15" t="inlineStr">
        <is>
          <t>src/Features/Pages/Server/BizFunc/WEB/FileArchive；src/Features/Pages/Client/B...</t>
        </is>
      </c>
      <c r="O31" s="15" t="inlineStr">
        <is>
          <t>已完成</t>
        </is>
      </c>
      <c r="P31" s="17" t="inlineStr">
        <is>
          <t>已依 GitHub main 複驗：FileArchive 後台附件 LibFileInput 的 Accept 為 */*，上傳 hook 走 Server_UploadTemp；後端 FileManagementBiz 的合法副檔名清單包含 ODT，MIME 清單也包含 APPLICATION_ODT，因此 odt 上傳限制程式層通過。涉及 API/檔案上傳。</t>
        </is>
      </c>
      <c r="Q31" s="17" t="inlineStr">
        <is>
          <t>2026-05-27</t>
        </is>
      </c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8" t="n">
        <v>32</v>
      </c>
      <c r="B32" s="18" t="inlineStr">
        <is>
          <t>測試站後台問題表(wcms)</t>
        </is>
      </c>
      <c r="C32" s="18" t="inlineStr">
        <is>
          <t>120</t>
        </is>
      </c>
      <c r="D32" s="18" t="inlineStr">
        <is>
          <t>檔案室</t>
        </is>
      </c>
      <c r="E32" s="18" t="inlineStr">
        <is>
          <t>FileArchive / 檔案資源</t>
        </is>
      </c>
      <c r="F32" s="18" t="inlineStr">
        <is>
          <t>同時有2+以上相同檔名的檔案但格式不同時，後台沒有呈現完整的格式資訊</t>
        </is>
      </c>
      <c r="G32" s="18" t="inlineStr">
        <is>
          <t>檔案/媒體</t>
        </is>
      </c>
      <c r="H32" s="18" t="inlineStr">
        <is>
          <t>緊急</t>
        </is>
      </c>
      <c r="I32" s="18" t="inlineStr">
        <is>
          <t>L</t>
        </is>
      </c>
      <c r="J32" s="18" t="n">
        <v>8</v>
      </c>
      <c r="K32" s="18" t="inlineStr">
        <is>
          <t>待修</t>
        </is>
      </c>
      <c r="L32" s="18" t="inlineStr">
        <is>
          <t>未驗收</t>
        </is>
      </c>
      <c r="M32" s="18" t="n"/>
      <c r="N32" s="18" t="inlineStr">
        <is>
          <t>src/Features/Pages/Server/BizFunc/WEB/FileArchive；src/Features/Pages/Client/B...</t>
        </is>
      </c>
      <c r="O32" s="18" t="inlineStr">
        <is>
          <t>問題關聯#99</t>
        </is>
      </c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5" t="n">
        <v>33</v>
      </c>
      <c r="B33" s="15" t="inlineStr">
        <is>
          <t>測試站後台問題表(wcms)</t>
        </is>
      </c>
      <c r="C33" s="15" t="inlineStr">
        <is>
          <t>108</t>
        </is>
      </c>
      <c r="D33" s="15" t="inlineStr">
        <is>
          <t>網站架構</t>
        </is>
      </c>
      <c r="E33" s="15" t="inlineStr">
        <is>
          <t>SiteMenu / Header</t>
        </is>
      </c>
      <c r="F33" s="15" t="inlineStr">
        <is>
          <t>模型配置的清單樣式未補齊全（目前僅有圖文式）</t>
        </is>
      </c>
      <c r="G33" s="15" t="inlineStr">
        <is>
          <t>功能/資料</t>
        </is>
      </c>
      <c r="H33" s="15" t="inlineStr">
        <is>
          <t>緊急</t>
        </is>
      </c>
      <c r="I33" s="15" t="inlineStr">
        <is>
          <t>L</t>
        </is>
      </c>
      <c r="J33" s="15" t="n">
        <v>8</v>
      </c>
      <c r="K33" s="15" t="inlineStr">
        <is>
          <t>處理中</t>
        </is>
      </c>
      <c r="L33" s="15" t="inlineStr">
        <is>
          <t>未驗收</t>
        </is>
      </c>
      <c r="M33" s="15" t="n"/>
      <c r="N33" s="15" t="inlineStr">
        <is>
          <t>src/Features/Pages/Server/BizFunc/WEB/SiteMenu；src/SpecFetures/*/Pages/Client...</t>
        </is>
      </c>
      <c r="O33" s="15" t="inlineStr">
        <is>
          <t>處理中</t>
        </is>
      </c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8" t="n">
        <v>34</v>
      </c>
      <c r="B34" s="18" t="inlineStr">
        <is>
          <t>測試站後台問題表(wcms)</t>
        </is>
      </c>
      <c r="C34" s="18" t="inlineStr">
        <is>
          <t>67</t>
        </is>
      </c>
      <c r="D34" s="18" t="inlineStr">
        <is>
          <t>網站架構/新增</t>
        </is>
      </c>
      <c r="E34" s="18" t="inlineStr">
        <is>
          <t>SiteMenu / Header</t>
        </is>
      </c>
      <c r="F34" s="18" t="inlineStr">
        <is>
          <t>新增子分類後尚未設定任何資料，部分欄位會吃到上一次的暫存新增。</t>
        </is>
      </c>
      <c r="G34" s="18" t="inlineStr">
        <is>
          <t>功能/資料</t>
        </is>
      </c>
      <c r="H34" s="18" t="inlineStr">
        <is>
          <t>緊急</t>
        </is>
      </c>
      <c r="I34" s="18" t="inlineStr">
        <is>
          <t>L</t>
        </is>
      </c>
      <c r="J34" s="18" t="n">
        <v>8</v>
      </c>
      <c r="K34" s="18" t="inlineStr">
        <is>
          <t>已完成</t>
        </is>
      </c>
      <c r="L34" s="18" t="inlineStr">
        <is>
          <t>複驗通過</t>
        </is>
      </c>
      <c r="M34" s="18" t="inlineStr">
        <is>
          <t>2026-05-27</t>
        </is>
      </c>
      <c r="N34" s="18" t="inlineStr">
        <is>
          <t>src/Features/Pages/Server/BizFunc/WEB/SiteMenu；src/SpecFetures/*/Pages/Client...</t>
        </is>
      </c>
      <c r="O34" s="18" t="inlineStr">
        <is>
          <t>暫無復現</t>
        </is>
      </c>
      <c r="P34" s="17" t="inlineStr">
        <is>
          <t>已依 GitHub main 複驗：SiteMenu 新增項目會使用負數暫存 RowId，並建立新的 SiteMenu_Item 與對應 SiteMenu_Item_Title；左側 RenderLeftBox 有 isDirty/hasDraft 判斷，避免尚未保存的暫存項目被伺服器資料覆蓋。暫存吃到上一次新增的問題程式層已降低。涉及 CSR/UI。</t>
        </is>
      </c>
      <c r="Q34" s="17" t="inlineStr">
        <is>
          <t>2026-05-27</t>
        </is>
      </c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5" t="n">
        <v>35</v>
      </c>
      <c r="B35" s="15" t="inlineStr">
        <is>
          <t>測試站後台問題表(wcms)</t>
        </is>
      </c>
      <c r="C35" s="15" t="inlineStr">
        <is>
          <t>68</t>
        </is>
      </c>
      <c r="D35" s="15" t="inlineStr">
        <is>
          <t>網站架構/編輯</t>
        </is>
      </c>
      <c r="E35" s="15" t="inlineStr">
        <is>
          <t>SiteMenu / Header</t>
        </is>
      </c>
      <c r="F35" s="15" t="inlineStr">
        <is>
          <t>研發處＞地方創生．藝術共榮計畫＞新增112年度，儲存後再回去查看發現基本頁籤設定多了一欄【繁體中文】？模型配置的USR類別無法正常選取，點擊無作用。</t>
        </is>
      </c>
      <c r="G35" s="15" t="inlineStr">
        <is>
          <t>功能/資料</t>
        </is>
      </c>
      <c r="H35" s="15" t="inlineStr">
        <is>
          <t>緊急</t>
        </is>
      </c>
      <c r="I35" s="15" t="inlineStr">
        <is>
          <t>L</t>
        </is>
      </c>
      <c r="J35" s="15" t="n">
        <v>8</v>
      </c>
      <c r="K35" s="15" t="inlineStr">
        <is>
          <t>已完成</t>
        </is>
      </c>
      <c r="L35" s="15" t="inlineStr">
        <is>
          <t>複驗通過</t>
        </is>
      </c>
      <c r="M35" s="15" t="inlineStr">
        <is>
          <t>2026-05-27</t>
        </is>
      </c>
      <c r="N35" s="15" t="inlineStr">
        <is>
          <t>src/Features/Pages/Server/BizFunc/WEB/SiteMenu；src/SpecFetures/*/Pages/Client...</t>
        </is>
      </c>
      <c r="O35" s="15" t="inlineStr">
        <is>
          <t>暫無復現多了一欄【繁體中文】</t>
        </is>
      </c>
      <c r="P35" s="17" t="inlineStr">
        <is>
          <t>已依 GitHub main 複驗：SiteMenu 會透過 useEnsureLangDetails 補齊站台與選單標題多語系明細，Spec1810 的 Module_Extension 已加入 SpecResearch/SpecUSR 模型；SpecModule_Comp 以 SpecCategoryAdapter.useMapByProgId 依 progId 取得類別下拉並寫入 ModuleOptions。程式層可支援 USR 類別選取與多語明細補齊。仍建議實機確認既有資料是否仍殘留舊暫存列。涉及 UI/CSR/API。</t>
        </is>
      </c>
      <c r="Q35" s="17" t="inlineStr">
        <is>
          <t>2026-05-27</t>
        </is>
      </c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8" t="n">
        <v>36</v>
      </c>
      <c r="B36" s="18" t="inlineStr">
        <is>
          <t>測試站後台問題表(wcms)</t>
        </is>
      </c>
      <c r="C36" s="18" t="inlineStr">
        <is>
          <t>69</t>
        </is>
      </c>
      <c r="D36" s="18" t="inlineStr">
        <is>
          <t>網站架構/編輯</t>
        </is>
      </c>
      <c r="E36" s="18" t="inlineStr">
        <is>
          <t>SiteMenu / Header</t>
        </is>
      </c>
      <c r="F36" s="18" t="inlineStr">
        <is>
          <t>研發處＞地方創生．藝術共榮計畫＞新增112年度，後台顯示正常，前台顯示不正常。</t>
        </is>
      </c>
      <c r="G36" s="18" t="inlineStr">
        <is>
          <t>功能/資料</t>
        </is>
      </c>
      <c r="H36" s="18" t="inlineStr">
        <is>
          <t>緊急</t>
        </is>
      </c>
      <c r="I36" s="18" t="inlineStr">
        <is>
          <t>L</t>
        </is>
      </c>
      <c r="J36" s="18" t="n">
        <v>8</v>
      </c>
      <c r="K36" s="18" t="inlineStr">
        <is>
          <t>部分複驗，待實機確認</t>
        </is>
      </c>
      <c r="L36" s="18" t="inlineStr">
        <is>
          <t>部分複驗，待實機確認</t>
        </is>
      </c>
      <c r="M36" s="18" t="n"/>
      <c r="N36" s="18" t="inlineStr">
        <is>
          <t>src/Features/Pages/Server/BizFunc/WEB/SiteMenu；src/SpecFetures/*/Pages/Client...</t>
        </is>
      </c>
      <c r="O36" s="18" t="inlineStr">
        <is>
          <t>在協助確認問題和資料狀況</t>
        </is>
      </c>
      <c r="P36" s="26" t="inlineStr">
        <is>
          <t>第十九批依本次完整 ZIP 重新複驗：前端 SiteMenu Hook/Module_Comp 已可維護 ModuleProgId、ModuleOptions、PageManagement/Announcement/Gallery/FileArchive 等模組設定，Header 亦依 SiteMenu tree 渲染連結。惟「新增 112 年度後前台顯示不正常」高度依賴正式站該筆 SiteMenu 資料、URL、ModuleOptions、語系與路由對應，單靠 ZIP 無法判斷資料是否正確。涉及 API、CSR、UI、資料/路由；維持部分複驗。</t>
        </is>
      </c>
      <c r="Q36" s="26" t="inlineStr">
        <is>
          <t>2026-05-27</t>
        </is>
      </c>
      <c r="R36" s="26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5" t="n">
        <v>37</v>
      </c>
      <c r="B37" s="15" t="inlineStr">
        <is>
          <t>測試站後台問題表(wcms)</t>
        </is>
      </c>
      <c r="C37" s="15" t="inlineStr">
        <is>
          <t>75</t>
        </is>
      </c>
      <c r="D37" s="15" t="inlineStr">
        <is>
          <t>新增</t>
        </is>
      </c>
      <c r="E37" s="15" t="inlineStr">
        <is>
          <t>SiteMenu / Header</t>
        </is>
      </c>
      <c r="F37" s="15" t="inlineStr">
        <is>
          <t>新增編輯完後，無法儲存新增</t>
        </is>
      </c>
      <c r="G37" s="15" t="inlineStr">
        <is>
          <t>功能/資料</t>
        </is>
      </c>
      <c r="H37" s="15" t="inlineStr">
        <is>
          <t>緊急</t>
        </is>
      </c>
      <c r="I37" s="15" t="inlineStr">
        <is>
          <t>L</t>
        </is>
      </c>
      <c r="J37" s="15" t="n">
        <v>8</v>
      </c>
      <c r="K37" s="15" t="inlineStr">
        <is>
          <t>已完成</t>
        </is>
      </c>
      <c r="L37" s="15" t="inlineStr">
        <is>
          <t>複驗通過</t>
        </is>
      </c>
      <c r="M37" s="15" t="inlineStr">
        <is>
          <t>2026-05-27</t>
        </is>
      </c>
      <c r="N37" s="15" t="inlineStr">
        <is>
          <t>src/Features/Pages/Server/BizFunc/WEB/SiteMenu；src/SpecFetures/*/Pages/Client...</t>
        </is>
      </c>
      <c r="O37" s="15" t="inlineStr">
        <is>
          <t>刪除某項menu item會有暫存問題</t>
        </is>
      </c>
      <c r="P37" s="17" t="inlineStr">
        <is>
          <t>已依 GitHub main 複驗：SiteMenu 儲存已拆成 onSaveSiteInfo、onSaveMenuItem、onSaveMenuStructure；新增/編輯選單項目會透過 buildSaveMenuItemRequest 組 RowId、ParentRowId、Title、Url、Module 後呼叫 saveMenuItem.saveAsync，成功後 refetchData。新增編輯儲存流程程式層通過。涉及 API/UI。</t>
        </is>
      </c>
      <c r="Q37" s="17" t="inlineStr">
        <is>
          <t>2026-05-27</t>
        </is>
      </c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8" t="n">
        <v>38</v>
      </c>
      <c r="B38" s="18" t="inlineStr">
        <is>
          <t>測試站後台問題表(wcms)</t>
        </is>
      </c>
      <c r="C38" s="18" t="inlineStr">
        <is>
          <t>138</t>
        </is>
      </c>
      <c r="D38" s="18" t="inlineStr">
        <is>
          <t>新增</t>
        </is>
      </c>
      <c r="E38" s="18" t="inlineStr">
        <is>
          <t>SiteMenu / Header</t>
        </is>
      </c>
      <c r="F38" s="18" t="inlineStr">
        <is>
          <t>僅點擊新增就出現錯誤訊息</t>
        </is>
      </c>
      <c r="G38" s="18" t="inlineStr">
        <is>
          <t>功能/資料</t>
        </is>
      </c>
      <c r="H38" s="18" t="inlineStr">
        <is>
          <t>緊急</t>
        </is>
      </c>
      <c r="I38" s="18" t="inlineStr">
        <is>
          <t>L</t>
        </is>
      </c>
      <c r="J38" s="18" t="n">
        <v>8</v>
      </c>
      <c r="K38" s="18" t="inlineStr">
        <is>
          <t>已完成</t>
        </is>
      </c>
      <c r="L38" s="18" t="inlineStr">
        <is>
          <t>複驗通過</t>
        </is>
      </c>
      <c r="M38" s="18" t="inlineStr">
        <is>
          <t>2026-05-27</t>
        </is>
      </c>
      <c r="N38" s="18" t="inlineStr">
        <is>
          <t>src/Features/Pages/Server/BizFunc/WEB/SiteMenu；src/SpecFetures/*/Pages/Client...</t>
        </is>
      </c>
      <c r="O38" s="18" t="inlineStr">
        <is>
          <t>新站增加SiteMenu_Index
初始化動作</t>
        </is>
      </c>
      <c r="P38" s="17" t="inlineStr">
        <is>
          <t>已依 GitHub main 複驗：SiteMenu 新增按鈕會建立暫存節點與初始 title，並將 selectedItemEdit 指向新節點；useSiteMenuMainDataByAdapter 在找不到有效 InternalId 時會給 skip initial emptyData，避免直接查 __skip__ 造成新增時錯誤。點新增即錯誤的程式層防護已具備。涉及 CSR/UI。</t>
        </is>
      </c>
      <c r="Q38" s="17" t="inlineStr">
        <is>
          <t>2026-05-27</t>
        </is>
      </c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5" t="n">
        <v>39</v>
      </c>
      <c r="B39" s="15" t="inlineStr">
        <is>
          <t>測試站後台問題表(wcms)</t>
        </is>
      </c>
      <c r="C39" s="15" t="inlineStr">
        <is>
          <t>90</t>
        </is>
      </c>
      <c r="D39" s="15" t="inlineStr">
        <is>
          <t>廣告輪播</t>
        </is>
      </c>
      <c r="E39" s="15" t="inlineStr">
        <is>
          <t>Banner</t>
        </is>
      </c>
      <c r="F39" s="15" t="inlineStr">
        <is>
          <t>下架日期無法修改和儲存（手動可輸入，但無法正確儲存）
＊重整網頁後就可以儲存？
(請一併修正其他欄位，編輯修改的資料皆無法在第一次儲存時正常顯示)</t>
        </is>
      </c>
      <c r="G39" s="15" t="inlineStr">
        <is>
          <t>SSR/渲染</t>
        </is>
      </c>
      <c r="H39" s="15" t="inlineStr">
        <is>
          <t>高</t>
        </is>
      </c>
      <c r="I39" s="15" t="inlineStr">
        <is>
          <t>S</t>
        </is>
      </c>
      <c r="J39" s="15" t="n">
        <v>0.5</v>
      </c>
      <c r="K39" s="15" t="inlineStr">
        <is>
          <t>已完成</t>
        </is>
      </c>
      <c r="L39" s="15" t="inlineStr">
        <is>
          <t>複驗通過</t>
        </is>
      </c>
      <c r="M39" s="15" t="inlineStr">
        <is>
          <t>2026-05-27</t>
        </is>
      </c>
      <c r="N39" s="15" t="inlineStr">
        <is>
          <t>src/Features/Pages/Server/BizFunc/WEB/Banner；src/Features/WEB/Banner</t>
        </is>
      </c>
      <c r="O39" s="15" t="inlineStr">
        <is>
          <t>0.5hr</t>
        </is>
      </c>
      <c r="P39" s="17" t="inlineStr">
        <is>
          <t>已依 GitHub main 複驗：BannerDetail 的 Validate_Start / Validate_End 皆使用 LibCalendar 並透過 useSetTableField 以 rowKeys 寫回 BannerDetail；表單 Save 依 create/update 呼叫 BannerSliderAdapter，QueryData 回來後同步到可編輯 state。下架日期與其他欄位首次儲存流程程式層通過。涉及 UI/CSR/API。</t>
        </is>
      </c>
      <c r="Q39" s="17" t="inlineStr">
        <is>
          <t>2026-05-27</t>
        </is>
      </c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8" t="n">
        <v>40</v>
      </c>
      <c r="B40" s="18" t="inlineStr">
        <is>
          <t>測試站後台問題表(wcms)</t>
        </is>
      </c>
      <c r="C40" s="18" t="inlineStr">
        <is>
          <t>124</t>
        </is>
      </c>
      <c r="D40" s="18" t="inlineStr">
        <is>
          <t>研究亮點</t>
        </is>
      </c>
      <c r="E40" s="18" t="inlineStr">
        <is>
          <t>SpecResearch / SpecUSR</t>
        </is>
      </c>
      <c r="F40" s="18" t="inlineStr">
        <is>
          <t>封面圖片改成"成果照片"</t>
        </is>
      </c>
      <c r="G40" s="18" t="inlineStr">
        <is>
          <t>功能/資料</t>
        </is>
      </c>
      <c r="H40" s="18" t="inlineStr">
        <is>
          <t>高</t>
        </is>
      </c>
      <c r="I40" s="18" t="inlineStr">
        <is>
          <t>S</t>
        </is>
      </c>
      <c r="J40" s="18" t="n">
        <v>1</v>
      </c>
      <c r="K40" s="18" t="inlineStr">
        <is>
          <t>已完成</t>
        </is>
      </c>
      <c r="L40" s="18" t="inlineStr">
        <is>
          <t>複驗通過</t>
        </is>
      </c>
      <c r="M40" s="18" t="inlineStr">
        <is>
          <t>2026-05-27</t>
        </is>
      </c>
      <c r="N40" s="18" t="inlineStr">
        <is>
          <t>src/SpecFetures/1810/Pages/Server/BizFunc/WEB/SpecResearch；SpecUSR</t>
        </is>
      </c>
      <c r="O40" s="18" t="n"/>
      <c r="P40" s="17" t="inlineStr">
        <is>
          <t>已依 GitHub main 複驗：Spec1810 zh-TW 資源檔中 SpecUSR_PictureId 已顯示為「成果照片」，符合「封面圖片改成成果照片」的文案需求。涉及多語系/ModelDisplayName。</t>
        </is>
      </c>
      <c r="Q40" s="17" t="inlineStr">
        <is>
          <t>2026-05-27</t>
        </is>
      </c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5" t="n">
        <v>41</v>
      </c>
      <c r="B41" s="15" t="inlineStr">
        <is>
          <t>測試站後台問題表(wcms)</t>
        </is>
      </c>
      <c r="C41" s="15" t="inlineStr">
        <is>
          <t>125</t>
        </is>
      </c>
      <c r="D41" s="15" t="inlineStr">
        <is>
          <t>欄位名稱</t>
        </is>
      </c>
      <c r="E41" s="15" t="inlineStr">
        <is>
          <t>SpecResearch / SpecUSR</t>
        </is>
      </c>
      <c r="F41" s="15" t="inlineStr">
        <is>
          <t>研究計畫的欄位為"系所"
不要和USR計畫的名稱一樣</t>
        </is>
      </c>
      <c r="G41" s="15" t="inlineStr">
        <is>
          <t>功能/資料</t>
        </is>
      </c>
      <c r="H41" s="15" t="inlineStr">
        <is>
          <t>高</t>
        </is>
      </c>
      <c r="I41" s="15" t="inlineStr">
        <is>
          <t>S</t>
        </is>
      </c>
      <c r="J41" s="15" t="n">
        <v>1</v>
      </c>
      <c r="K41" s="15" t="inlineStr">
        <is>
          <t>已完成</t>
        </is>
      </c>
      <c r="L41" s="15" t="inlineStr">
        <is>
          <t>複驗通過</t>
        </is>
      </c>
      <c r="M41" s="15" t="inlineStr">
        <is>
          <t>2026-05-27</t>
        </is>
      </c>
      <c r="N41" s="15" t="inlineStr">
        <is>
          <t>src/SpecFetures/1810/Pages/Server/BizFunc/WEB/SpecResearch；SpecUSR</t>
        </is>
      </c>
      <c r="O41" s="15" t="n"/>
      <c r="P41" s="17" t="inlineStr">
        <is>
          <t>已依 GitHub main 複驗：Spec1810 zh-TW 資源檔中 SpecResearch_Department 顯示為「系所」，與 USR 計畫欄位名稱區分，符合研究計畫欄位名稱需求。涉及多語系/ModelDisplayName。</t>
        </is>
      </c>
      <c r="Q41" s="17" t="inlineStr">
        <is>
          <t>2026-05-27</t>
        </is>
      </c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8" t="n">
        <v>42</v>
      </c>
      <c r="B42" s="18" t="inlineStr">
        <is>
          <t>測試站後台問題表(wcms)</t>
        </is>
      </c>
      <c r="C42" s="18" t="inlineStr">
        <is>
          <t>126</t>
        </is>
      </c>
      <c r="D42" s="18" t="inlineStr">
        <is>
          <t>大觀藝術教育推廣課程</t>
        </is>
      </c>
      <c r="E42" s="18" t="inlineStr">
        <is>
          <t>SpecResearch / SpecUSR</t>
        </is>
      </c>
      <c r="F42" s="18" t="inlineStr">
        <is>
          <t>欄位名稱應為"課程/社團"</t>
        </is>
      </c>
      <c r="G42" s="18" t="inlineStr">
        <is>
          <t>功能/資料</t>
        </is>
      </c>
      <c r="H42" s="18" t="inlineStr">
        <is>
          <t>高</t>
        </is>
      </c>
      <c r="I42" s="18" t="inlineStr">
        <is>
          <t>S</t>
        </is>
      </c>
      <c r="J42" s="18" t="n">
        <v>1</v>
      </c>
      <c r="K42" s="18" t="inlineStr">
        <is>
          <t>待修</t>
        </is>
      </c>
      <c r="L42" s="18" t="inlineStr">
        <is>
          <t>未驗收</t>
        </is>
      </c>
      <c r="M42" s="18" t="n"/>
      <c r="N42" s="18" t="inlineStr">
        <is>
          <t>src/SpecFetures/1810/Pages/Server/BizFunc/WEB/SpecResearch；SpecUSR</t>
        </is>
      </c>
      <c r="O42" s="18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5" t="n">
        <v>43</v>
      </c>
      <c r="B43" s="15" t="inlineStr">
        <is>
          <t>測試站後台問題表(wcms)</t>
        </is>
      </c>
      <c r="C43" s="15" t="inlineStr">
        <is>
          <t>15</t>
        </is>
      </c>
      <c r="D43" s="15" t="inlineStr">
        <is>
          <t>公告/新增、編輯</t>
        </is>
      </c>
      <c r="E43" s="15" t="inlineStr">
        <is>
          <t>Announcement</t>
        </is>
      </c>
      <c r="F43" s="15" t="inlineStr">
        <is>
          <t>上下架時間無法設定未來式，儲存後再回到該公告時日期會被自動改成當天</t>
        </is>
      </c>
      <c r="G43" s="15" t="inlineStr">
        <is>
          <t>排序/狀態</t>
        </is>
      </c>
      <c r="H43" s="15" t="inlineStr">
        <is>
          <t>高</t>
        </is>
      </c>
      <c r="I43" s="15" t="inlineStr">
        <is>
          <t>S</t>
        </is>
      </c>
      <c r="J43" s="15" t="n">
        <v>1</v>
      </c>
      <c r="K43" s="15" t="inlineStr">
        <is>
          <t>已完成</t>
        </is>
      </c>
      <c r="L43" s="15" t="inlineStr">
        <is>
          <t>複驗通過</t>
        </is>
      </c>
      <c r="M43" s="15" t="inlineStr">
        <is>
          <t>2026-05-27</t>
        </is>
      </c>
      <c r="N43" s="15" t="inlineStr">
        <is>
          <t>src/Features/Pages/Server/BizFunc/WEB/Announcement；src/Features/Pages/Client/...</t>
        </is>
      </c>
      <c r="O43" s="15" t="inlineStr">
        <is>
          <t>1hr</t>
        </is>
      </c>
      <c r="P43" s="17" t="inlineStr">
        <is>
          <t>已依 GitHub main 複驗：Announcement/Banner 共用 LibCalendar 會輸出 yyyy-MM-dd 字串，useSetTableField datetime 對字串會保留原值不轉 UTC ISO；Announcement 後端 BeforeUpdate 只檢查日期必填/前後順序，未看到將未來日期改回當天的邏輯。上下架可設定未來日期程式層通過。涉及 UI/API。</t>
        </is>
      </c>
      <c r="Q43" s="17" t="inlineStr">
        <is>
          <t>2026-05-27</t>
        </is>
      </c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8" t="n">
        <v>44</v>
      </c>
      <c r="B44" s="18" t="inlineStr">
        <is>
          <t>測試站後台問題表(wcms)</t>
        </is>
      </c>
      <c r="C44" s="18" t="inlineStr">
        <is>
          <t>89</t>
        </is>
      </c>
      <c r="D44" s="18" t="inlineStr">
        <is>
          <t>廣告輪播</t>
        </is>
      </c>
      <c r="E44" s="18" t="inlineStr">
        <is>
          <t>Banner</t>
        </is>
      </c>
      <c r="F44" s="18" t="inlineStr">
        <is>
          <t>上下架日期無法手動輸入，僅能點選</t>
        </is>
      </c>
      <c r="G44" s="18" t="inlineStr">
        <is>
          <t>排序/狀態</t>
        </is>
      </c>
      <c r="H44" s="18" t="inlineStr">
        <is>
          <t>高</t>
        </is>
      </c>
      <c r="I44" s="18" t="inlineStr">
        <is>
          <t>S</t>
        </is>
      </c>
      <c r="J44" s="18" t="n">
        <v>1</v>
      </c>
      <c r="K44" s="18" t="inlineStr">
        <is>
          <t>已完成</t>
        </is>
      </c>
      <c r="L44" s="18" t="inlineStr">
        <is>
          <t>複驗通過</t>
        </is>
      </c>
      <c r="M44" s="18" t="inlineStr">
        <is>
          <t>2026-05-27</t>
        </is>
      </c>
      <c r="N44" s="18" t="inlineStr">
        <is>
          <t>src/Features/Pages/Server/BizFunc/WEB/Banner；src/Features/WEB/Banner</t>
        </is>
      </c>
      <c r="O44" s="18" t="inlineStr">
        <is>
          <t>1hr</t>
        </is>
      </c>
      <c r="P44" s="17" t="inlineStr">
        <is>
          <t>已依 GitHub main 複驗：Banner 上下架日期使用共用 LibCalendar；該元件支援鍵盤手動輸入 yyyy/MM/dd、yyyy-MM-dd、yyyyMMdd 等格式，blur/Enter 後解析並回寫 yyyy-MM-dd，不限於滑鼠點選。涉及 AA/鍵盤操作/UI。</t>
        </is>
      </c>
      <c r="Q44" s="17" t="inlineStr">
        <is>
          <t>2026-05-27</t>
        </is>
      </c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5" t="n">
        <v>45</v>
      </c>
      <c r="B45" s="15" t="inlineStr">
        <is>
          <t>測試站後台問題表(wcms)</t>
        </is>
      </c>
      <c r="C45" s="15" t="inlineStr">
        <is>
          <t>91</t>
        </is>
      </c>
      <c r="D45" s="15" t="inlineStr">
        <is>
          <t>廣告輪播</t>
        </is>
      </c>
      <c r="E45" s="15" t="inlineStr">
        <is>
          <t>Banner</t>
        </is>
      </c>
      <c r="F45" s="15" t="inlineStr">
        <is>
          <t>1. 轉換間隔、速度附註上單位
2. 新增時預設打開圖片1，不要只有+，使用者會不知道那是什麼</t>
        </is>
      </c>
      <c r="G45" s="15" t="inlineStr">
        <is>
          <t>功能/資料</t>
        </is>
      </c>
      <c r="H45" s="15" t="inlineStr">
        <is>
          <t>高</t>
        </is>
      </c>
      <c r="I45" s="15" t="inlineStr">
        <is>
          <t>S</t>
        </is>
      </c>
      <c r="J45" s="15" t="n">
        <v>1</v>
      </c>
      <c r="K45" s="15" t="inlineStr">
        <is>
          <t>退回，未通過</t>
        </is>
      </c>
      <c r="L45" s="15" t="inlineStr">
        <is>
          <t>複驗未通過</t>
        </is>
      </c>
      <c r="M45" s="15" t="n"/>
      <c r="N45" s="15" t="inlineStr">
        <is>
          <t>src/Features/Pages/Server/BizFunc/WEB/Banner；src/Features/WEB/Banner</t>
        </is>
      </c>
      <c r="O45" s="15" t="inlineStr">
        <is>
          <t>已完成</t>
        </is>
      </c>
      <c r="P45" s="17" t="inlineStr">
        <is>
          <t>已依 GitHub main 複驗：新增 Banner 時 emptyData 已有 BannerDetail RowId:1，頁籤會顯示「圖片1」，因此預設打開圖片1部分通過；但 HeaderComp 中轉換間隔、轉換速度仍只是 LibTextBox 欄位，未看到秒/ms等單位附註或欄位文字補充，需求未完整完成。涉及 UI/AA 文案。</t>
        </is>
      </c>
      <c r="Q45" s="17" t="inlineStr">
        <is>
          <t>2026-05-27</t>
        </is>
      </c>
      <c r="R45" s="17" t="inlineStr">
        <is>
          <t>不符合處：轉換間隔、轉換速度沒有明確單位附註；僅「新增預設圖片1」已完成。影響範圍：Banner 後台新增/編輯欄位理解，使用者可能無法判斷輸入單位。對應檔案：WCMS_Frontend/src/Features/Pages/Server/BizFunc/WEB/Banner/Server_BannerSlider_Form_Comp.tsx、WCMS_Backend/Features/WEB/Banner/Banner_DTO.cs、ModelDisplayName.zh-TW.resx。建議修正方向：在欄位 Label 或備註補「毫秒(ms)」或實際單位，必要時加 placeholder/help text；確認前台 Banner 消費 Speed/Interval 的單位一致。涉及 UI/AA。</t>
        </is>
      </c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8" t="n">
        <v>46</v>
      </c>
      <c r="B46" s="18" t="inlineStr">
        <is>
          <t>測試站後台問題表(wcms)</t>
        </is>
      </c>
      <c r="C46" s="18" t="inlineStr">
        <is>
          <t>107</t>
        </is>
      </c>
      <c r="D46" s="18" t="inlineStr">
        <is>
          <t>新增、編輯</t>
        </is>
      </c>
      <c r="E46" s="18" t="inlineStr">
        <is>
          <t>PageManagement / TinyMCE</t>
        </is>
      </c>
      <c r="F46" s="18" t="inlineStr">
        <is>
          <t>表格row未吃到bg-color</t>
        </is>
      </c>
      <c r="G46" s="18" t="inlineStr">
        <is>
          <t>UI/樣式</t>
        </is>
      </c>
      <c r="H46" s="18" t="inlineStr">
        <is>
          <t>高</t>
        </is>
      </c>
      <c r="I46" s="18" t="inlineStr">
        <is>
          <t>M</t>
        </is>
      </c>
      <c r="J46" s="18" t="n">
        <v>1.5</v>
      </c>
      <c r="K46" s="18" t="inlineStr">
        <is>
          <t>處理中</t>
        </is>
      </c>
      <c r="L46" s="18" t="inlineStr">
        <is>
          <t>未驗收</t>
        </is>
      </c>
      <c r="M46" s="18" t="n"/>
      <c r="N46" s="18" t="inlineStr">
        <is>
          <t>src/Features/Pages/Server/BizFunc/WEB/PageManagement；src/SysCore/Components/T...</t>
        </is>
      </c>
      <c r="O46" s="18" t="inlineStr">
        <is>
          <t>調整:
1. 刪除row property設定?
2. cell property設定拉出外面
3. table跑版
4. 顏色選擇器優化</t>
        </is>
      </c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5" t="n">
        <v>47</v>
      </c>
      <c r="B47" s="15" t="inlineStr">
        <is>
          <t>測試站後台問題表(wcms)</t>
        </is>
      </c>
      <c r="C47" s="15" t="inlineStr">
        <is>
          <t>60</t>
        </is>
      </c>
      <c r="D47" s="15" t="inlineStr">
        <is>
          <t>頁面/類別</t>
        </is>
      </c>
      <c r="E47" s="15" t="inlineStr">
        <is>
          <t>PageManagement / TinyMCE</t>
        </is>
      </c>
      <c r="F47" s="15" t="inlineStr">
        <is>
          <t>沒有關閉or刪除的選項</t>
        </is>
      </c>
      <c r="G47" s="15" t="inlineStr">
        <is>
          <t>UI/樣式</t>
        </is>
      </c>
      <c r="H47" s="15" t="inlineStr">
        <is>
          <t>高</t>
        </is>
      </c>
      <c r="I47" s="15" t="inlineStr">
        <is>
          <t>M</t>
        </is>
      </c>
      <c r="J47" s="15" t="n">
        <v>1.5</v>
      </c>
      <c r="K47" s="15" t="inlineStr">
        <is>
          <t>待驗收</t>
        </is>
      </c>
      <c r="L47" s="15" t="inlineStr">
        <is>
          <t>待驗收</t>
        </is>
      </c>
      <c r="M47" s="15" t="n"/>
      <c r="N47" s="15" t="inlineStr">
        <is>
          <t>src/Features/Pages/Server/BizFunc/WEB/PageManagement；src/SysCore/Components/T...</t>
        </is>
      </c>
      <c r="O47" s="15" t="inlineStr">
        <is>
          <t>接Mike處理完類別/標籤刪除前檢查及帶訊息提示框即可</t>
        </is>
      </c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8" t="n">
        <v>48</v>
      </c>
      <c r="B48" s="18" t="inlineStr">
        <is>
          <t>測試站後台問題表(wcms)</t>
        </is>
      </c>
      <c r="C48" s="18" t="inlineStr">
        <is>
          <t>123</t>
        </is>
      </c>
      <c r="D48" s="18" t="inlineStr">
        <is>
          <t>相簿/狀態</t>
        </is>
      </c>
      <c r="E48" s="18" t="inlineStr">
        <is>
          <t>Gallery</t>
        </is>
      </c>
      <c r="F48" s="18" t="inlineStr">
        <is>
          <t>相簿的狀態只需要"置頂"和"隱藏"即可，不用熱門和最新</t>
        </is>
      </c>
      <c r="G48" s="18" t="inlineStr">
        <is>
          <t>排序/狀態</t>
        </is>
      </c>
      <c r="H48" s="18" t="inlineStr">
        <is>
          <t>高</t>
        </is>
      </c>
      <c r="I48" s="18" t="inlineStr">
        <is>
          <t>M</t>
        </is>
      </c>
      <c r="J48" s="18" t="n">
        <v>2</v>
      </c>
      <c r="K48" s="18" t="inlineStr">
        <is>
          <t>待修</t>
        </is>
      </c>
      <c r="L48" s="18" t="inlineStr">
        <is>
          <t>未驗收</t>
        </is>
      </c>
      <c r="M48" s="18" t="n"/>
      <c r="N48" s="18" t="inlineStr">
        <is>
          <t>src/Features/Pages/Server/BizFunc/WEB/Gallery；src/Features/Pages/Client/BizFu...</t>
        </is>
      </c>
      <c r="O48" s="18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5" t="n">
        <v>49</v>
      </c>
      <c r="B49" s="15" t="inlineStr">
        <is>
          <t>測試站後台問題表(wcms)</t>
        </is>
      </c>
      <c r="C49" s="15" t="inlineStr">
        <is>
          <t>146</t>
        </is>
      </c>
      <c r="D49" s="15" t="inlineStr">
        <is>
          <t>列表</t>
        </is>
      </c>
      <c r="E49" s="15" t="inlineStr">
        <is>
          <t>SpecResearch / SpecUSR</t>
        </is>
      </c>
      <c r="F49" s="15" t="inlineStr">
        <is>
          <t>增加像1810一樣的搜尋功能
可搜尋組別和關鍵字...等</t>
        </is>
      </c>
      <c r="G49" s="15" t="inlineStr">
        <is>
          <t>搜尋</t>
        </is>
      </c>
      <c r="H49" s="15" t="inlineStr">
        <is>
          <t>高</t>
        </is>
      </c>
      <c r="I49" s="15" t="inlineStr">
        <is>
          <t>M</t>
        </is>
      </c>
      <c r="J49" s="15" t="n">
        <v>2</v>
      </c>
      <c r="K49" s="15" t="inlineStr">
        <is>
          <t>已完成</t>
        </is>
      </c>
      <c r="L49" s="15" t="inlineStr">
        <is>
          <t>複驗通過</t>
        </is>
      </c>
      <c r="M49" s="15" t="inlineStr">
        <is>
          <t>2026-05-27</t>
        </is>
      </c>
      <c r="N49" s="15" t="inlineStr">
        <is>
          <t>src/SpecFetures/1810/Pages/Server/BizFunc/WEB/SpecResearch；SpecUSR</t>
        </is>
      </c>
      <c r="O49" s="15" t="n"/>
      <c r="P49" s="17" t="inlineStr">
        <is>
          <t>已依 GitHub main 複驗：SpecResearch 後台列表已接 Server_SearchBar，提供文字搜尋、類別下拉與標籤下拉；文字條件涵蓋計畫名稱、論文名稱、合作項目、課程/社團，符合增加搜尋組別與關鍵字的需求。涉及 UI/API/查詢條件，程式層通過。</t>
        </is>
      </c>
      <c r="Q49" s="17" t="inlineStr">
        <is>
          <t>2026-05-27</t>
        </is>
      </c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8" t="n">
        <v>50</v>
      </c>
      <c r="B50" s="18" t="inlineStr">
        <is>
          <t>測試站後台問題表(wcms)</t>
        </is>
      </c>
      <c r="C50" s="18" t="inlineStr">
        <is>
          <t>151</t>
        </is>
      </c>
      <c r="D50" s="18" t="inlineStr">
        <is>
          <t>內頁編輯器</t>
        </is>
      </c>
      <c r="E50" s="18" t="inlineStr">
        <is>
          <t>PageManagement / TinyMCE</t>
        </is>
      </c>
      <c r="F50" s="18" t="inlineStr">
        <is>
          <t>設定完樣式後儲存成功，再點進去一次後格式全跑掉沒吃到資料</t>
        </is>
      </c>
      <c r="G50" s="18" t="inlineStr">
        <is>
          <t>功能/資料</t>
        </is>
      </c>
      <c r="H50" s="18" t="inlineStr">
        <is>
          <t>高</t>
        </is>
      </c>
      <c r="I50" s="18" t="inlineStr">
        <is>
          <t>M</t>
        </is>
      </c>
      <c r="J50" s="18" t="n">
        <v>2</v>
      </c>
      <c r="K50" s="18" t="inlineStr">
        <is>
          <t>已完成</t>
        </is>
      </c>
      <c r="L50" s="18" t="inlineStr">
        <is>
          <t>複驗通過</t>
        </is>
      </c>
      <c r="M50" s="18" t="inlineStr">
        <is>
          <t>2026-05-27</t>
        </is>
      </c>
      <c r="N50" s="18" t="inlineStr">
        <is>
          <t>src/Features/Pages/Server/BizFunc/WEB/PageManagement；src/SysCore/Components/T...</t>
        </is>
      </c>
      <c r="O50" s="18" t="inlineStr">
        <is>
          <t>已先跟Kevin說</t>
        </is>
      </c>
      <c r="P50" s="17" t="inlineStr">
        <is>
          <t>已依 GitHub main 複驗：TinyMCE 設定保留常用貼上樣式、允許完整 valid_elements，且 CMS HTML 正規化主要移除高風險標籤與事件屬性，未見會整批清掉格式的流程；內頁編輯器格式保存/再載入程式層通過。涉及 UI/CSR/弱掃風險，程式層以安全正規化為主。</t>
        </is>
      </c>
      <c r="Q50" s="17" t="inlineStr">
        <is>
          <t>2026-05-27</t>
        </is>
      </c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5" t="n">
        <v>52</v>
      </c>
      <c r="B51" s="15" t="inlineStr">
        <is>
          <t>測試站後台問題表(wcms)</t>
        </is>
      </c>
      <c r="C51" s="15" t="inlineStr">
        <is>
          <t>94</t>
        </is>
      </c>
      <c r="D51" s="15" t="inlineStr">
        <is>
          <t>快捷鍵圖示</t>
        </is>
      </c>
      <c r="E51" s="15" t="inlineStr">
        <is>
          <t>Banner</t>
        </is>
      </c>
      <c r="F51" s="15" t="inlineStr">
        <is>
          <t>快捷鍵圖示未顯示
新增或編輯都沒反應</t>
        </is>
      </c>
      <c r="G51" s="15" t="inlineStr">
        <is>
          <t>功能/資料</t>
        </is>
      </c>
      <c r="H51" s="15" t="inlineStr">
        <is>
          <t>高</t>
        </is>
      </c>
      <c r="I51" s="15" t="inlineStr">
        <is>
          <t>M</t>
        </is>
      </c>
      <c r="J51" s="15" t="n">
        <v>2</v>
      </c>
      <c r="K51" s="15" t="inlineStr">
        <is>
          <t>已完成</t>
        </is>
      </c>
      <c r="L51" s="15" t="inlineStr">
        <is>
          <t>複驗通過</t>
        </is>
      </c>
      <c r="M51" s="15" t="inlineStr">
        <is>
          <t>2026-05-27</t>
        </is>
      </c>
      <c r="N51" s="15" t="inlineStr">
        <is>
          <t>src/Features/Pages/Server/BizFunc/WEB/Banner；src/Features/WEB/Banner</t>
        </is>
      </c>
      <c r="O51" s="15" t="inlineStr">
        <is>
          <t>待規劃</t>
        </is>
      </c>
      <c r="P51" s="26" t="inlineStr">
        <is>
          <t>已依本次 ZIP 複驗：1816 首頁快速連結圖示由固定 Banner internalId 載入，前台 QuickLinksData 會依 BannerDetail.PicSrcId 取預覽圖；後台 Banner 表單支援圖片明細新增、上傳 PicSrcId 與語系明細 URL/標題維護，新增或編輯已有對應資料流。</t>
        </is>
      </c>
      <c r="Q51" s="26" t="inlineStr">
        <is>
          <t>2026-05-27</t>
        </is>
      </c>
      <c r="R51" s="26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8" t="n">
        <v>53</v>
      </c>
      <c r="B52" s="18" t="inlineStr">
        <is>
          <t>測試站後台問題表(wcms)</t>
        </is>
      </c>
      <c r="C52" s="18" t="inlineStr">
        <is>
          <t>3</t>
        </is>
      </c>
      <c r="D52" s="18" t="inlineStr">
        <is>
          <t>公告</t>
        </is>
      </c>
      <c r="E52" s="18" t="inlineStr">
        <is>
          <t>Announcement</t>
        </is>
      </c>
      <c r="F52" s="18" t="inlineStr">
        <is>
          <t>新增和列表點入跳錯誤</t>
        </is>
      </c>
      <c r="G52" s="18" t="inlineStr">
        <is>
          <t>功能/資料</t>
        </is>
      </c>
      <c r="H52" s="18" t="inlineStr">
        <is>
          <t>高</t>
        </is>
      </c>
      <c r="I52" s="18" t="inlineStr">
        <is>
          <t>M</t>
        </is>
      </c>
      <c r="J52" s="18" t="n">
        <v>2</v>
      </c>
      <c r="K52" s="18" t="inlineStr">
        <is>
          <t>已完成</t>
        </is>
      </c>
      <c r="L52" s="18" t="inlineStr">
        <is>
          <t>複驗通過</t>
        </is>
      </c>
      <c r="M52" s="18" t="inlineStr">
        <is>
          <t>2026-05-27</t>
        </is>
      </c>
      <c r="N52" s="18" t="inlineStr">
        <is>
          <t>src/Features/Pages/Server/BizFunc/WEB/Announcement；src/Features/Pages/Client/...</t>
        </is>
      </c>
      <c r="O52" s="18" t="inlineStr">
        <is>
          <t>已完成</t>
        </is>
      </c>
      <c r="P52" s="17" t="inlineStr">
        <is>
          <t>第十七批依本次 ZIP 複驗：Announcement List 已接 Server_ListGridTemplate 與 CRUD action，列表編輯導向 Form/internalId；Form 以 internalId 判斷新增/修改並透過 adapter create/update/delete，新增與列表點入路由流程已修正到共用框架。</t>
        </is>
      </c>
      <c r="Q52" s="17" t="inlineStr">
        <is>
          <t>2026-05-27</t>
        </is>
      </c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5" t="n">
        <v>54</v>
      </c>
      <c r="B53" s="15" t="inlineStr">
        <is>
          <t>測試站後台問題表(wcms)</t>
        </is>
      </c>
      <c r="C53" s="15" t="inlineStr">
        <is>
          <t>6</t>
        </is>
      </c>
      <c r="D53" s="15" t="inlineStr">
        <is>
          <t>公告類別、標籤功能</t>
        </is>
      </c>
      <c r="E53" s="15" t="inlineStr">
        <is>
          <t>Announcement</t>
        </is>
      </c>
      <c r="F53" s="15" t="inlineStr">
        <is>
          <t>類別新增和刪除後不會自動更新畫面，要自行重整才出現</t>
        </is>
      </c>
      <c r="G53" s="15" t="inlineStr">
        <is>
          <t>SSR/渲染</t>
        </is>
      </c>
      <c r="H53" s="15" t="inlineStr">
        <is>
          <t>高</t>
        </is>
      </c>
      <c r="I53" s="15" t="inlineStr">
        <is>
          <t>M</t>
        </is>
      </c>
      <c r="J53" s="15" t="n">
        <v>2</v>
      </c>
      <c r="K53" s="15" t="inlineStr">
        <is>
          <t>已完成</t>
        </is>
      </c>
      <c r="L53" s="15" t="inlineStr">
        <is>
          <t>複驗通過</t>
        </is>
      </c>
      <c r="M53" s="15" t="inlineStr">
        <is>
          <t>2026-05-27</t>
        </is>
      </c>
      <c r="N53" s="15" t="inlineStr">
        <is>
          <t>src/Features/Pages/Server/BizFunc/WEB/Announcement；src/Features/Pages/Client/...</t>
        </is>
      </c>
      <c r="O53" s="15" t="inlineStr">
        <is>
          <t>已完成</t>
        </is>
      </c>
      <c r="P53" s="17" t="inlineStr">
        <is>
          <t>已依 GitHub main 複驗：共用 Category/Tag 新增、修改、刪除成功後會 navigate 回列表路徑、refetchList，新增/刪除後也會重設表單資料，可避免新增或刪除後仍需手動重整才更新。AA/SSR/弱掃/API 風險低，屬後台 CSR 資料刷新流程。</t>
        </is>
      </c>
      <c r="Q53" s="17" t="inlineStr">
        <is>
          <t>2026-05-27</t>
        </is>
      </c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8" t="n">
        <v>55</v>
      </c>
      <c r="B54" s="18" t="inlineStr">
        <is>
          <t>測試站後台問題表(wcms)</t>
        </is>
      </c>
      <c r="C54" s="18" t="inlineStr">
        <is>
          <t>20</t>
        </is>
      </c>
      <c r="D54" s="18" t="inlineStr">
        <is>
          <t>公告/列表</t>
        </is>
      </c>
      <c r="E54" s="18" t="inlineStr">
        <is>
          <t>Announcement</t>
        </is>
      </c>
      <c r="F54" s="18" t="inlineStr">
        <is>
          <t>列表顯示的條件依據可否調整？
狀態＞上架時間（新到舊）＞編輯時間，否則一有編輯的公告資訊就會往前擠壓到最新上架資訊（功能可比照CK Editor）</t>
        </is>
      </c>
      <c r="G54" s="18" t="inlineStr">
        <is>
          <t>排序/狀態</t>
        </is>
      </c>
      <c r="H54" s="18" t="inlineStr">
        <is>
          <t>高</t>
        </is>
      </c>
      <c r="I54" s="18" t="inlineStr">
        <is>
          <t>M</t>
        </is>
      </c>
      <c r="J54" s="18" t="n">
        <v>2</v>
      </c>
      <c r="K54" s="18" t="inlineStr">
        <is>
          <t>退回，未通過</t>
        </is>
      </c>
      <c r="L54" s="18" t="inlineStr">
        <is>
          <t>複驗未通過</t>
        </is>
      </c>
      <c r="M54" s="18" t="n"/>
      <c r="N54" s="18" t="inlineStr">
        <is>
          <t>src/Features/Pages/Server/BizFunc/WEB/Announcement；src/Features/Pages/Client/...</t>
        </is>
      </c>
      <c r="O54" s="18" t="inlineStr">
        <is>
          <t>請協助更改排序邏輯為：上架時間（新到舊）＞編輯時間</t>
        </is>
      </c>
      <c r="P54" s="17" t="inlineStr">
        <is>
          <t>已依 GitHub main 複驗：公告後台列表目前 RankGroups 只先處理置頂，排序欄位為 CreateTime DESC，未符合本列要求的「狀態＞上架時間新到舊＞編輯時間」完整排序鏈。</t>
        </is>
      </c>
      <c r="Q54" s="17" t="inlineStr">
        <is>
          <t>2026-05-27</t>
        </is>
      </c>
      <c r="R54" s="17" t="inlineStr">
        <is>
          <t>不符合處：公告後台列表未依上架時間 Validate_Start 新到舊排序，而是使用 CreateTime DESC。影響範圍：Announcement 後台列表、管理者判斷最新上架公告的順序；可能與前台上架邏輯不一致。對應檔案：WCMS_Frontend/src/Features/Pages/Server/BizFunc/WEB/Announcement/Server_Announcement_List_Hook.ts。建議修正方向：OrderBy 改為 ContentStatus 置頂後接 Validate_Start DESC，再視需求補 ModifyTime 或 CreateTime。涉及 UI/API/資料排序，不涉及弱掃。</t>
        </is>
      </c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5" t="n">
        <v>56</v>
      </c>
      <c r="B55" s="15" t="inlineStr">
        <is>
          <t>測試站後台問題表(wcms)</t>
        </is>
      </c>
      <c r="C55" s="15" t="inlineStr">
        <is>
          <t>26</t>
        </is>
      </c>
      <c r="D55" s="15" t="inlineStr">
        <is>
          <t>公告/列表</t>
        </is>
      </c>
      <c r="E55" s="15" t="inlineStr">
        <is>
          <t>Announcement</t>
        </is>
      </c>
      <c r="F55" s="15" t="inlineStr">
        <is>
          <t>1/ 頁數page-item無法點下一頁，只能點最後一頁。
2/ 無法顯示目前所在頁數。
3/ 網址列可否帶出頁數？能比照1810嗎？</t>
        </is>
      </c>
      <c r="G55" s="15" t="inlineStr">
        <is>
          <t>功能/資料</t>
        </is>
      </c>
      <c r="H55" s="15" t="inlineStr">
        <is>
          <t>高</t>
        </is>
      </c>
      <c r="I55" s="15" t="inlineStr">
        <is>
          <t>M</t>
        </is>
      </c>
      <c r="J55" s="15" t="n">
        <v>2</v>
      </c>
      <c r="K55" s="15" t="inlineStr">
        <is>
          <t>退回，未通過</t>
        </is>
      </c>
      <c r="L55" s="15" t="inlineStr">
        <is>
          <t>複驗未通過</t>
        </is>
      </c>
      <c r="M55" s="15" t="str"/>
      <c r="N55" s="15" t="inlineStr">
        <is>
          <t>src/Features/Pages/Server/BizFunc/WEB/Announcement；src/Features/Pages/Client/...</t>
        </is>
      </c>
      <c r="O55" s="15" t="inlineStr">
        <is>
          <t>已完成</t>
        </is>
      </c>
      <c r="P55" s="26" t="inlineStr">
        <is>
          <t>已依本次 ZIP 複驗：共用 Paginator 與 Grid 已能顯示目前頁、輸入頁碼與 GO，但前台 Client_DataQueryTemplate 的 setPageNumber 只更新 React viewState，未看到 useSearchParams、URLSearchParams 或 navigate 將 page 寫入網址列。</t>
        </is>
      </c>
      <c r="Q55" s="26" t="inlineStr">
        <is>
          <t>2026-05-27</t>
        </is>
      </c>
      <c r="R55" s="26" t="inlineStr">
        <is>
          <t>不符合處：公告分頁雖可換頁與顯示目前頁，但「網址列帶出頁數」尚未完成。影響範圍：Announcement 前台列表、共用 Client_DataQueryTemplate 分頁、可能影響 FileArchive/WebResource 等同模板列表。對應檔案：src/Features/Pages/Client/Scaffold/DataQueryTemplate/Client_DataQueryTemplate_Hook.ts、src/SysCore/Utils/API/APIAdapter.ts。建議修正方向：在 setPageNumber 時同步更新 query string，例如 ?page=2，loader 初始也需讀 URL page；同時確認 SSR 首屏與 CSR 切頁一致。涉及：SSR/CSR/UI/AA。</t>
        </is>
      </c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8" t="n">
        <v>57</v>
      </c>
      <c r="B56" s="18" t="inlineStr">
        <is>
          <t>測試站後台問題表(wcms)</t>
        </is>
      </c>
      <c r="C56" s="18" t="inlineStr">
        <is>
          <t>32</t>
        </is>
      </c>
      <c r="D56" s="18" t="inlineStr">
        <is>
          <t>相簿</t>
        </is>
      </c>
      <c r="E56" s="18" t="inlineStr">
        <is>
          <t>Gallery</t>
        </is>
      </c>
      <c r="F56" s="18" t="inlineStr">
        <is>
          <t>狀態：None?</t>
        </is>
      </c>
      <c r="G56" s="18" t="inlineStr">
        <is>
          <t>功能/資料</t>
        </is>
      </c>
      <c r="H56" s="18" t="inlineStr">
        <is>
          <t>高</t>
        </is>
      </c>
      <c r="I56" s="18" t="inlineStr">
        <is>
          <t>M</t>
        </is>
      </c>
      <c r="J56" s="18" t="n">
        <v>2</v>
      </c>
      <c r="K56" s="18" t="inlineStr">
        <is>
          <t>已完成</t>
        </is>
      </c>
      <c r="L56" s="18" t="inlineStr">
        <is>
          <t>複驗通過</t>
        </is>
      </c>
      <c r="M56" s="18" t="inlineStr">
        <is>
          <t>2026-05-27</t>
        </is>
      </c>
      <c r="N56" s="18" t="inlineStr">
        <is>
          <t>src/Features/Pages/Server/BizFunc/WEB/Gallery；src/Features/Pages/Client/BizFu...</t>
        </is>
      </c>
      <c r="O56" s="18" t="inlineStr">
        <is>
          <t>已完成</t>
        </is>
      </c>
      <c r="P56" s="17" t="inlineStr">
        <is>
          <t>已依 GitHub main 複驗：Gallery 表單 ContentStatus enum 已去除 key=0，後台狀態欄使用 ContentStatus 勾選與列表顯示，不再將 None 當一般可選狀態呈現。涉及 UI/表單資料，程式層通過。</t>
        </is>
      </c>
      <c r="Q56" s="17" t="inlineStr">
        <is>
          <t>2026-05-27</t>
        </is>
      </c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5" t="n">
        <v>58</v>
      </c>
      <c r="B57" s="15" t="inlineStr">
        <is>
          <t>測試站後台問題表(wcms)</t>
        </is>
      </c>
      <c r="C57" s="15" t="inlineStr">
        <is>
          <t>33</t>
        </is>
      </c>
      <c r="D57" s="15" t="inlineStr">
        <is>
          <t>相簿</t>
        </is>
      </c>
      <c r="E57" s="15" t="inlineStr">
        <is>
          <t>Gallery</t>
        </is>
      </c>
      <c r="F57" s="15" t="inlineStr">
        <is>
          <t>相簿裡的相片都沒顯示出來</t>
        </is>
      </c>
      <c r="G57" s="15" t="inlineStr">
        <is>
          <t>功能/資料</t>
        </is>
      </c>
      <c r="H57" s="15" t="inlineStr">
        <is>
          <t>高</t>
        </is>
      </c>
      <c r="I57" s="15" t="inlineStr">
        <is>
          <t>M</t>
        </is>
      </c>
      <c r="J57" s="15" t="n">
        <v>2</v>
      </c>
      <c r="K57" s="15" t="inlineStr">
        <is>
          <t>已完成</t>
        </is>
      </c>
      <c r="L57" s="15" t="inlineStr">
        <is>
          <t>複驗通過</t>
        </is>
      </c>
      <c r="M57" s="15" t="inlineStr">
        <is>
          <t>2026-05-27</t>
        </is>
      </c>
      <c r="N57" s="15" t="inlineStr">
        <is>
          <t>src/Features/Pages/Server/BizFunc/WEB/Gallery；src/Features/Pages/Client/BizFu...</t>
        </is>
      </c>
      <c r="O57" s="15" t="inlineStr">
        <is>
          <t>已完成</t>
        </is>
      </c>
      <c r="P57" s="17" t="inlineStr">
        <is>
          <t>已依 GitHub main 複驗：Gallery 列表封面使用 FileManagementAPI.get_Server_Preview_Url，編輯畫面相片使用 Public_Preview 產生圖片網址，並有相片資料列渲染流程；相簿相片不顯示問題程式層已具備預覽支援。涉及 UI/API/檔案預覽。</t>
        </is>
      </c>
      <c r="Q57" s="17" t="inlineStr">
        <is>
          <t>2026-05-27</t>
        </is>
      </c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8" t="n">
        <v>59</v>
      </c>
      <c r="B58" s="18" t="inlineStr">
        <is>
          <t>測試站後台問題表(wcms)</t>
        </is>
      </c>
      <c r="C58" s="18" t="inlineStr">
        <is>
          <t>37</t>
        </is>
      </c>
      <c r="D58" s="18" t="inlineStr">
        <is>
          <t>相簿/新增</t>
        </is>
      </c>
      <c r="E58" s="18" t="inlineStr">
        <is>
          <t>Gallery</t>
        </is>
      </c>
      <c r="F58" s="18" t="inlineStr">
        <is>
          <t>上下架日期無法手動輸入，僅能點選</t>
        </is>
      </c>
      <c r="G58" s="18" t="inlineStr">
        <is>
          <t>排序/狀態</t>
        </is>
      </c>
      <c r="H58" s="18" t="inlineStr">
        <is>
          <t>高</t>
        </is>
      </c>
      <c r="I58" s="18" t="inlineStr">
        <is>
          <t>M</t>
        </is>
      </c>
      <c r="J58" s="18" t="n">
        <v>2</v>
      </c>
      <c r="K58" s="18" t="inlineStr">
        <is>
          <t>已完成</t>
        </is>
      </c>
      <c r="L58" s="18" t="inlineStr">
        <is>
          <t>複驗通過</t>
        </is>
      </c>
      <c r="M58" s="18" t="inlineStr">
        <is>
          <t>2026-05-27</t>
        </is>
      </c>
      <c r="N58" s="18" t="inlineStr">
        <is>
          <t>src/Features/Pages/Server/BizFunc/WEB/Gallery；src/Features/Pages/Client/BizFu...</t>
        </is>
      </c>
      <c r="O58" s="18" t="inlineStr">
        <is>
          <t>同8</t>
        </is>
      </c>
      <c r="P58" s="17" t="inlineStr">
        <is>
          <t>已依 GitHub main 複驗：共用 LibCalendar 已支援手動輸入 yyyy/MM/dd、yyyy-MM-dd、yyyyMMdd 等格式，onBlur 或 Enter 會解析並寫回 yyyy-MM-dd；相簿上下架日期可手動輸入。涉及 UI/AA/表單輸入，程式層通過。</t>
        </is>
      </c>
      <c r="Q58" s="17" t="inlineStr">
        <is>
          <t>2026-05-27</t>
        </is>
      </c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5" t="n">
        <v>60</v>
      </c>
      <c r="B59" s="15" t="inlineStr">
        <is>
          <t>測試站後台問題表(wcms)</t>
        </is>
      </c>
      <c r="C59" s="15" t="inlineStr">
        <is>
          <t>41</t>
        </is>
      </c>
      <c r="D59" s="15" t="inlineStr">
        <is>
          <t>相簿/類別</t>
        </is>
      </c>
      <c r="E59" s="15" t="inlineStr">
        <is>
          <t>Gallery</t>
        </is>
      </c>
      <c r="F59" s="15" t="inlineStr">
        <is>
          <t>沒有關閉類別or刪除的選項</t>
        </is>
      </c>
      <c r="G59" s="15" t="inlineStr">
        <is>
          <t>功能/資料</t>
        </is>
      </c>
      <c r="H59" s="15" t="inlineStr">
        <is>
          <t>高</t>
        </is>
      </c>
      <c r="I59" s="15" t="inlineStr">
        <is>
          <t>M</t>
        </is>
      </c>
      <c r="J59" s="15" t="n">
        <v>2</v>
      </c>
      <c r="K59" s="15" t="inlineStr">
        <is>
          <t>退回，未通過</t>
        </is>
      </c>
      <c r="L59" s="15" t="inlineStr">
        <is>
          <t>複驗未通過</t>
        </is>
      </c>
      <c r="M59" s="15" t="n"/>
      <c r="N59" s="15" t="inlineStr">
        <is>
          <t>src/Features/Pages/Server/BizFunc/WEB/Gallery；src/Features/Pages/Client/BizFu...</t>
        </is>
      </c>
      <c r="O59" s="15" t="inlineStr">
        <is>
          <t>同35</t>
        </is>
      </c>
      <c r="P59" s="17" t="inlineStr">
        <is>
          <t>已依 GitHub main 複驗：共用 Category DTO 與後台共用表單仍未看到關閉/停用狀態欄位，僅支援基本資料與刪除，故相簿類別關閉需求未完整通過。</t>
        </is>
      </c>
      <c r="Q59" s="17" t="inlineStr">
        <is>
          <t>2026-05-27</t>
        </is>
      </c>
      <c r="R59" s="17" t="inlineStr">
        <is>
          <t>不符合處：類別資料模型沒有關閉/停用欄位，後台類別列表仍無關閉功能。影響範圍：Gallery 類別、共用 Category 管理、可能連帶影響 Announcement/FileArchive/WebResource 類別控管。對應檔案：WCMS_Backend/Features/COMM/Category/Category_DTO.cs、WCMS_Frontend/src/Features/Pages/Server/BizFunc/COMM/Category。建議修正方向：補 IsDisabled/ContentStatus 類欄位與 API/列表操作，前台/後台查詢需排除已關閉資料。涉及 UI/API/資料模型，不涉及 SSR，弱掃風險低。</t>
        </is>
      </c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8" t="n">
        <v>61</v>
      </c>
      <c r="B60" s="18" t="inlineStr">
        <is>
          <t>測試站後台問題表(wcms)</t>
        </is>
      </c>
      <c r="C60" s="18" t="inlineStr">
        <is>
          <t>42</t>
        </is>
      </c>
      <c r="D60" s="18" t="inlineStr">
        <is>
          <t>相簿/標籤</t>
        </is>
      </c>
      <c r="E60" s="18" t="inlineStr">
        <is>
          <t>Gallery</t>
        </is>
      </c>
      <c r="F60" s="18" t="inlineStr">
        <is>
          <t>沒有關閉標籤or刪除的選項</t>
        </is>
      </c>
      <c r="G60" s="18" t="inlineStr">
        <is>
          <t>功能/資料</t>
        </is>
      </c>
      <c r="H60" s="18" t="inlineStr">
        <is>
          <t>高</t>
        </is>
      </c>
      <c r="I60" s="18" t="inlineStr">
        <is>
          <t>M</t>
        </is>
      </c>
      <c r="J60" s="18" t="n">
        <v>2</v>
      </c>
      <c r="K60" s="18" t="inlineStr">
        <is>
          <t>退回，未通過</t>
        </is>
      </c>
      <c r="L60" s="18" t="inlineStr">
        <is>
          <t>複驗未通過</t>
        </is>
      </c>
      <c r="M60" s="18" t="n"/>
      <c r="N60" s="18" t="inlineStr">
        <is>
          <t>src/Features/Pages/Server/BizFunc/WEB/Gallery；src/Features/Pages/Client/BizFu...</t>
        </is>
      </c>
      <c r="O60" s="18" t="inlineStr">
        <is>
          <t>同35</t>
        </is>
      </c>
      <c r="P60" s="17" t="inlineStr">
        <is>
          <t>已依 GitHub main 複驗：共用 Tag DTO 只有 TagId、ProgId 與語系名稱，未看到關閉/停用欄位或關閉操作，故相簿標籤關閉需求未完整通過。</t>
        </is>
      </c>
      <c r="Q60" s="17" t="inlineStr">
        <is>
          <t>2026-05-27</t>
        </is>
      </c>
      <c r="R60" s="17" t="inlineStr">
        <is>
          <t>不符合處：標籤資料模型沒有關閉/停用欄位，後台標籤列表仍無關閉功能。影響範圍：Gallery 標籤、共用 Tag 管理、可能連帶影響 Announcement/FileArchive/WebResource/Spec 標籤控管。對應檔案：WCMS_Backend/Features/COMM/Tag/Tag_DTO.cs、WCMS_Frontend/src/Features/Pages/Server/BizFunc/COMM/Tags。建議修正方向：補 IsDisabled/ContentStatus 類欄位與 API/列表操作，前台/後台查詢需排除已關閉資料。涉及 UI/API/資料模型，不涉及 SSR，弱掃風險低。</t>
        </is>
      </c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5" t="n">
        <v>62</v>
      </c>
      <c r="B61" s="15" t="inlineStr">
        <is>
          <t>測試站後台問題表(wcms)</t>
        </is>
      </c>
      <c r="C61" s="15" t="inlineStr">
        <is>
          <t>47</t>
        </is>
      </c>
      <c r="D61" s="15" t="inlineStr">
        <is>
          <t>研究計畫</t>
        </is>
      </c>
      <c r="E61" s="15" t="inlineStr">
        <is>
          <t>SpecResearch / SpecUSR</t>
        </is>
      </c>
      <c r="F61" s="15" t="inlineStr">
        <is>
          <t>列表顯示內容跟測試站不同</t>
        </is>
      </c>
      <c r="G61" s="15" t="inlineStr">
        <is>
          <t>功能/資料</t>
        </is>
      </c>
      <c r="H61" s="15" t="inlineStr">
        <is>
          <t>高</t>
        </is>
      </c>
      <c r="I61" s="15" t="inlineStr">
        <is>
          <t>M</t>
        </is>
      </c>
      <c r="J61" s="15" t="n">
        <v>2</v>
      </c>
      <c r="K61" s="15" t="inlineStr">
        <is>
          <t>已完成</t>
        </is>
      </c>
      <c r="L61" s="15" t="inlineStr">
        <is>
          <t>複驗通過</t>
        </is>
      </c>
      <c r="M61" s="15" t="inlineStr">
        <is>
          <t>2026-05-27</t>
        </is>
      </c>
      <c r="N61" s="15" t="inlineStr">
        <is>
          <t>src/SpecFetures/1810/Pages/Server/BizFunc/WEB/SpecResearch；SpecUSR</t>
        </is>
      </c>
      <c r="O61" s="15" t="inlineStr">
        <is>
          <t>確認顯示欄位有哪些</t>
        </is>
      </c>
      <c r="P61" s="17" t="inlineStr">
        <is>
          <t>已依 GitHub main 複驗：SpecResearch 後台列表已重建為 1810 專用欄位，包含類別、標籤、年度、學年度、學期、計畫名稱、論文名稱、合作項目、社團/課程、建立時間、修改者、修改時間，列表顯示已與 1810 規格接軌。涉及 UI/資料欄位。</t>
        </is>
      </c>
      <c r="Q61" s="17" t="inlineStr">
        <is>
          <t>2026-05-27</t>
        </is>
      </c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8" t="n">
        <v>63</v>
      </c>
      <c r="B62" s="18" t="inlineStr">
        <is>
          <t>測試站後台問題表(wcms)</t>
        </is>
      </c>
      <c r="C62" s="18" t="inlineStr">
        <is>
          <t>49</t>
        </is>
      </c>
      <c r="D62" s="18" t="inlineStr">
        <is>
          <t>研究計畫</t>
        </is>
      </c>
      <c r="E62" s="18" t="inlineStr">
        <is>
          <t>SpecResearch / SpecUSR</t>
        </is>
      </c>
      <c r="F62" s="18" t="inlineStr">
        <is>
          <t>修改人和修改時間移至最右邊</t>
        </is>
      </c>
      <c r="G62" s="18" t="inlineStr">
        <is>
          <t>功能/資料</t>
        </is>
      </c>
      <c r="H62" s="18" t="inlineStr">
        <is>
          <t>高</t>
        </is>
      </c>
      <c r="I62" s="18" t="inlineStr">
        <is>
          <t>M</t>
        </is>
      </c>
      <c r="J62" s="18" t="n">
        <v>2</v>
      </c>
      <c r="K62" s="18" t="inlineStr">
        <is>
          <t>已完成</t>
        </is>
      </c>
      <c r="L62" s="18" t="inlineStr">
        <is>
          <t>複驗通過</t>
        </is>
      </c>
      <c r="M62" s="18" t="inlineStr">
        <is>
          <t>2026-05-27</t>
        </is>
      </c>
      <c r="N62" s="18" t="inlineStr">
        <is>
          <t>src/SpecFetures/1810/Pages/Server/BizFunc/WEB/SpecResearch；SpecUSR</t>
        </is>
      </c>
      <c r="O62" s="18" t="inlineStr">
        <is>
          <t>調整visible欄位順序</t>
        </is>
      </c>
      <c r="P62" s="17" t="inlineStr">
        <is>
          <t>已依 GitHub main 複驗：SpecResearch 後台列表 visible columns 將建立時間放在修改者/修改時間之前，修改者與修改時間為最後兩欄，符合移至最右側的要求。涉及 UI/列表欄位。</t>
        </is>
      </c>
      <c r="Q62" s="17" t="inlineStr">
        <is>
          <t>2026-05-27</t>
        </is>
      </c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5" t="n">
        <v>64</v>
      </c>
      <c r="B63" s="15" t="inlineStr">
        <is>
          <t>測試站後台問題表(wcms)</t>
        </is>
      </c>
      <c r="C63" s="15" t="inlineStr">
        <is>
          <t>51</t>
        </is>
      </c>
      <c r="D63" s="15" t="inlineStr">
        <is>
          <t>研究計畫、
USR計畫</t>
        </is>
      </c>
      <c r="E63" s="15" t="inlineStr">
        <is>
          <t>SpecResearch / SpecUSR</t>
        </is>
      </c>
      <c r="F63" s="15" t="inlineStr">
        <is>
          <t>類別需加上前台顯示欄位</t>
        </is>
      </c>
      <c r="G63" s="15" t="inlineStr">
        <is>
          <t>功能/資料</t>
        </is>
      </c>
      <c r="H63" s="15" t="inlineStr">
        <is>
          <t>高</t>
        </is>
      </c>
      <c r="I63" s="15" t="inlineStr">
        <is>
          <t>M</t>
        </is>
      </c>
      <c r="J63" s="15" t="n">
        <v>2</v>
      </c>
      <c r="K63" s="15" t="inlineStr">
        <is>
          <t>退回，未通過</t>
        </is>
      </c>
      <c r="L63" s="15" t="inlineStr">
        <is>
          <t>複驗未通過</t>
        </is>
      </c>
      <c r="M63" s="15" t="inlineStr">
        <is>
          <t>2026-05-27</t>
        </is>
      </c>
      <c r="N63" s="15" t="inlineStr">
        <is>
          <t>src/SpecFetures/1810/Pages/Server/BizFunc/WEB/SpecResearch；SpecUSR</t>
        </is>
      </c>
      <c r="O63" s="15" t="inlineStr">
        <is>
          <t>已完成</t>
        </is>
      </c>
      <c r="P63" s="17" t="inlineStr">
        <is>
          <t>已依 GitHub main 複驗：共用 Category_DTO 目前只有 CategoryId、ProgId 與 CategoryDetail.CategoryName，未見「前台顯示」欄位；共用 Category 編輯表單也只渲染類別名稱輸入，無前台顯示開關。</t>
        </is>
      </c>
      <c r="Q63" s="17" t="inlineStr">
        <is>
          <t>2026-05-27</t>
        </is>
      </c>
      <c r="R63" s="17" t="inlineStr">
        <is>
          <t>不符合處：研究計畫/USR 類別尚未提供「前台顯示」欄位。影響範圍：SpecResearch / SpecUSR 類別維護，以及前台類別篩選/顯示控制。對應檔案：WCMS_Backend/Features/COMM/Category/Category_DTO.cs、WCMS_Frontend/src/Features/Pages/Server/BizFunc/COMM/Category/Server_Category_ListForm_Comp.tsx、Server_CategorySharedEditor_Comp.tsx。建議修正方向：在 Category model/DTO/API 補前台顯示狀態，表單補可操作開關，前台查詢依此欄位過濾。涉及 API/UI/TypeScript/CSR；AA 需補 label/aria；SSR 與弱掃風險低。</t>
        </is>
      </c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8" t="n">
        <v>65</v>
      </c>
      <c r="B64" s="18" t="inlineStr">
        <is>
          <t>測試站後台問題表(wcms)</t>
        </is>
      </c>
      <c r="C64" s="18" t="inlineStr">
        <is>
          <t>54</t>
        </is>
      </c>
      <c r="D64" s="18" t="inlineStr">
        <is>
          <t>研究計畫、
USR計畫</t>
        </is>
      </c>
      <c r="E64" s="18" t="inlineStr">
        <is>
          <t>SpecResearch / SpecUSR</t>
        </is>
      </c>
      <c r="F64" s="18" t="inlineStr">
        <is>
          <t>沒有關閉類別or刪除的選項</t>
        </is>
      </c>
      <c r="G64" s="18" t="inlineStr">
        <is>
          <t>功能/資料</t>
        </is>
      </c>
      <c r="H64" s="18" t="inlineStr">
        <is>
          <t>高</t>
        </is>
      </c>
      <c r="I64" s="18" t="inlineStr">
        <is>
          <t>M</t>
        </is>
      </c>
      <c r="J64" s="18" t="n">
        <v>2</v>
      </c>
      <c r="K64" s="18" t="inlineStr">
        <is>
          <t>退回，未通過</t>
        </is>
      </c>
      <c r="L64" s="18" t="inlineStr">
        <is>
          <t>複驗未通過</t>
        </is>
      </c>
      <c r="M64" s="18" t="inlineStr">
        <is>
          <t>2026-05-27</t>
        </is>
      </c>
      <c r="N64" s="18" t="inlineStr">
        <is>
          <t>src/SpecFetures/1810/Pages/Server/BizFunc/WEB/SpecResearch；SpecUSR</t>
        </is>
      </c>
      <c r="O64" s="18" t="inlineStr">
        <is>
          <t>已完成</t>
        </is>
      </c>
      <c r="P64" s="17" t="inlineStr">
        <is>
          <t>已依 GitHub main 複驗：共用 Category 路由支援 Spec 類別時仍走 CategoryListForm；目前只有編輯/刪除工具列，Category DTO 未見關閉狀態欄位，故「關閉類別」未完成。</t>
        </is>
      </c>
      <c r="Q64" s="17" t="inlineStr">
        <is>
          <t>2026-05-27</t>
        </is>
      </c>
      <c r="R64" s="17" t="inlineStr">
        <is>
          <t>不符合處：研究計畫/USR 類別沒有關閉/停用功能，只看到刪除/編輯操作。影響範圍：SpecResearch / SpecUSR 類別管理、前台顯示控制與歷史資料關聯安全。對應檔案：WCMS_Frontend/src/Features/Pages/Server/BizFunc/COMM/Category/Server_Category_ListForm_Comp.tsx、Server_Category_ListForm_Hook.ts、WCMS_Backend/Features/COMM/Category/Category_DTO.cs。建議修正方向：新增類別狀態欄位與關閉 API，表單/列表補關閉按鈕，前台查詢排除已關閉類別。涉及 UI/TypeScript/API/CSR；AA 需補按鈕語意；SSR/弱掃風險低。</t>
        </is>
      </c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5" t="n">
        <v>66</v>
      </c>
      <c r="B65" s="15" t="inlineStr">
        <is>
          <t>測試站後台問題表(wcms)</t>
        </is>
      </c>
      <c r="C65" s="15" t="inlineStr">
        <is>
          <t>55</t>
        </is>
      </c>
      <c r="D65" s="15" t="inlineStr">
        <is>
          <t>研究計畫、
USR計畫</t>
        </is>
      </c>
      <c r="E65" s="15" t="inlineStr">
        <is>
          <t>SpecResearch / SpecUSR</t>
        </is>
      </c>
      <c r="F65" s="15" t="inlineStr">
        <is>
          <t>沒有關閉標籤or刪除的選項</t>
        </is>
      </c>
      <c r="G65" s="15" t="inlineStr">
        <is>
          <t>功能/資料</t>
        </is>
      </c>
      <c r="H65" s="15" t="inlineStr">
        <is>
          <t>高</t>
        </is>
      </c>
      <c r="I65" s="15" t="inlineStr">
        <is>
          <t>M</t>
        </is>
      </c>
      <c r="J65" s="15" t="n">
        <v>2</v>
      </c>
      <c r="K65" s="15" t="inlineStr">
        <is>
          <t>退回，未通過</t>
        </is>
      </c>
      <c r="L65" s="15" t="inlineStr">
        <is>
          <t>複驗未通過</t>
        </is>
      </c>
      <c r="M65" s="15" t="inlineStr">
        <is>
          <t>2026-05-27</t>
        </is>
      </c>
      <c r="N65" s="15" t="inlineStr">
        <is>
          <t>src/SpecFetures/1810/Pages/Server/BizFunc/WEB/SpecResearch；SpecUSR</t>
        </is>
      </c>
      <c r="O65" s="15" t="inlineStr">
        <is>
          <t>已完成</t>
        </is>
      </c>
      <c r="P65" s="17" t="inlineStr">
        <is>
          <t>已依 GitHub main 複驗：共用 Tag 路由支援各功能標籤時只有編輯/刪除工具列，Tag DTO 未見關閉狀態欄位，故「關閉標籤」未完成。</t>
        </is>
      </c>
      <c r="Q65" s="17" t="inlineStr">
        <is>
          <t>2026-05-27</t>
        </is>
      </c>
      <c r="R65" s="17" t="inlineStr">
        <is>
          <t>不符合處：研究計畫/USR 標籤沒有關閉/停用功能，只看到刪除/編輯操作。影響範圍：SpecResearch / SpecUSR 標籤管理、前台標籤顯示與既有資料關聯。對應檔案：WCMS_Frontend/src/Features/Pages/Server/BizFunc/COMM/Tags/Server_Tag_ListForm_Comp.tsx、Server_Tag_ListForm_Hook.ts、WCMS_Backend/Features/COMM/Tag/Tag_DTO.cs。建議修正方向：新增標籤狀態欄位與關閉 API，表單/列表補關閉按鈕，前台查詢排除已關閉標籤。涉及 UI/TypeScript/API/CSR；AA 需補按鈕語意；SSR/弱掃風險低。</t>
        </is>
      </c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8" t="n">
        <v>67</v>
      </c>
      <c r="B66" s="18" t="inlineStr">
        <is>
          <t>測試站後台問題表(wcms)</t>
        </is>
      </c>
      <c r="C66" s="18" t="inlineStr">
        <is>
          <t>58</t>
        </is>
      </c>
      <c r="D66" s="18" t="inlineStr">
        <is>
          <t>頁面/列表</t>
        </is>
      </c>
      <c r="E66" s="18" t="inlineStr">
        <is>
          <t>PageManagement / TinyMCE</t>
        </is>
      </c>
      <c r="F66" s="18" t="inlineStr">
        <is>
          <t>1. 列表中的類別沒有顯示出來
2. "類別代碼"改成類別</t>
        </is>
      </c>
      <c r="G66" s="18" t="inlineStr">
        <is>
          <t>功能/資料</t>
        </is>
      </c>
      <c r="H66" s="18" t="inlineStr">
        <is>
          <t>高</t>
        </is>
      </c>
      <c r="I66" s="18" t="inlineStr">
        <is>
          <t>M</t>
        </is>
      </c>
      <c r="J66" s="18" t="n">
        <v>2</v>
      </c>
      <c r="K66" s="18" t="inlineStr">
        <is>
          <t>已完成</t>
        </is>
      </c>
      <c r="L66" s="18" t="inlineStr">
        <is>
          <t>複驗通過</t>
        </is>
      </c>
      <c r="M66" s="18" t="inlineStr">
        <is>
          <t>2026-05-27</t>
        </is>
      </c>
      <c r="N66" s="18" t="inlineStr">
        <is>
          <t>src/Features/Pages/Server/BizFunc/WEB/PageManagement；src/SysCore/Components/T...</t>
        </is>
      </c>
      <c r="O66" s="18" t="inlineStr">
        <is>
          <t>已完成</t>
        </is>
      </c>
      <c r="P66" s="17" t="inlineStr">
        <is>
          <t>第十六批 ZIP 複驗通過：PageManagement List 已接標題與類別搜尋；列表欄位包含 CategoryId 並以類別名稱顯示，標題仍依語系明細顯示。</t>
        </is>
      </c>
      <c r="Q66" s="17" t="inlineStr">
        <is>
          <t>2026-05-27</t>
        </is>
      </c>
      <c r="R66" s="17" t="str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5" t="n">
        <v>68</v>
      </c>
      <c r="B67" s="15" t="inlineStr">
        <is>
          <t>測試站後台問題表(wcms)</t>
        </is>
      </c>
      <c r="C67" s="15" t="inlineStr">
        <is>
          <t>77</t>
        </is>
      </c>
      <c r="D67" s="15" t="inlineStr">
        <is>
          <t>網路資源</t>
        </is>
      </c>
      <c r="E67" s="15" t="inlineStr">
        <is>
          <t>WebResource</t>
        </is>
      </c>
      <c r="F67" s="15" t="inlineStr">
        <is>
          <t>沒有關閉類別or刪除的選項</t>
        </is>
      </c>
      <c r="G67" s="15" t="inlineStr">
        <is>
          <t>功能/資料</t>
        </is>
      </c>
      <c r="H67" s="15" t="inlineStr">
        <is>
          <t>高</t>
        </is>
      </c>
      <c r="I67" s="15" t="inlineStr">
        <is>
          <t>M</t>
        </is>
      </c>
      <c r="J67" s="15" t="n">
        <v>2</v>
      </c>
      <c r="K67" s="15" t="inlineStr">
        <is>
          <t>退回，未通過</t>
        </is>
      </c>
      <c r="L67" s="15" t="inlineStr">
        <is>
          <t>複驗未通過</t>
        </is>
      </c>
      <c r="M67" s="15" t="inlineStr">
        <is>
          <t>2026-05-27</t>
        </is>
      </c>
      <c r="N67" s="15" t="inlineStr">
        <is>
          <t>src/Features/Pages/Server/BizFunc/WEB/WebResource；src/Features/Pages/Client/B...</t>
        </is>
      </c>
      <c r="O67" s="15" t="inlineStr">
        <is>
          <t>已完成</t>
        </is>
      </c>
      <c r="P67" s="17" t="inlineStr">
        <is>
          <t>已依 GitHub main 複驗：WebResource 類別路由使用共用 CategoryListForm，路由有接上資源類別，但共用 Category 資料模型與 UI 仍沒有關閉/停用功能。</t>
        </is>
      </c>
      <c r="Q67" s="17" t="inlineStr">
        <is>
          <t>2026-05-27</t>
        </is>
      </c>
      <c r="R67" s="17" t="inlineStr">
        <is>
          <t>不符合處：網路資源類別沒有關閉/停用功能，只看到刪除/編輯操作。影響範圍：WebResource 類別管理、前台資源分類顯示與舊資料關聯。對應檔案：WCMS_Frontend/src/Features/Pages/Server/Scaffold/Routes/ServerModuleRoutesData.tsx、WCMS_Frontend/src/Features/Pages/Server/BizFunc/COMM/Category/Server_Category_ListForm_Comp.tsx、WCMS_Backend/Features/COMM/Category/Category_DTO.cs。建議修正方向：補 Category 狀態欄位與關閉 API，列表補關閉按鈕，WebResource 前台/後台查詢排除關閉類別。涉及 UI/TypeScript/API/CSR；AA 需補可鍵盤操作；SSR/弱掃風險低。</t>
        </is>
      </c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8" t="n">
        <v>69</v>
      </c>
      <c r="B68" s="18" t="inlineStr">
        <is>
          <t>測試站後台問題表(wcms)</t>
        </is>
      </c>
      <c r="C68" s="18" t="inlineStr">
        <is>
          <t>78</t>
        </is>
      </c>
      <c r="D68" s="18" t="inlineStr">
        <is>
          <t>網路資源</t>
        </is>
      </c>
      <c r="E68" s="18" t="inlineStr">
        <is>
          <t>WebResource</t>
        </is>
      </c>
      <c r="F68" s="18" t="inlineStr">
        <is>
          <t>沒有關閉標籤or刪除的選項</t>
        </is>
      </c>
      <c r="G68" s="18" t="inlineStr">
        <is>
          <t>功能/資料</t>
        </is>
      </c>
      <c r="H68" s="18" t="inlineStr">
        <is>
          <t>高</t>
        </is>
      </c>
      <c r="I68" s="18" t="inlineStr">
        <is>
          <t>M</t>
        </is>
      </c>
      <c r="J68" s="18" t="n">
        <v>2</v>
      </c>
      <c r="K68" s="18" t="inlineStr">
        <is>
          <t>退回，未通過</t>
        </is>
      </c>
      <c r="L68" s="18" t="inlineStr">
        <is>
          <t>複驗未通過</t>
        </is>
      </c>
      <c r="M68" s="18" t="inlineStr">
        <is>
          <t>2026-05-27</t>
        </is>
      </c>
      <c r="N68" s="18" t="inlineStr">
        <is>
          <t>src/Features/Pages/Server/BizFunc/WEB/WebResource；src/Features/Pages/Client/B...</t>
        </is>
      </c>
      <c r="O68" s="18" t="inlineStr">
        <is>
          <t>已完成</t>
        </is>
      </c>
      <c r="P68" s="17" t="inlineStr">
        <is>
          <t>已依 GitHub main 複驗：WebResource 標籤路由使用共用 TagListForm，路由有接上資源標籤，但共用 Tag 資料模型與 UI 仍沒有關閉/停用功能。</t>
        </is>
      </c>
      <c r="Q68" s="17" t="inlineStr">
        <is>
          <t>2026-05-27</t>
        </is>
      </c>
      <c r="R68" s="17" t="inlineStr">
        <is>
          <t>不符合處：網路資源標籤沒有關閉/停用功能，只看到刪除/編輯操作。影響範圍：WebResource 標籤管理、前台資源標籤顯示與舊資料關聯。對應檔案：WCMS_Frontend/src/Features/Pages/Server/Scaffold/Routes/ServerModuleRoutesData.tsx、WCMS_Frontend/src/Features/Pages/Server/BizFunc/COMM/Tags/Server_Tag_ListForm_Comp.tsx、WCMS_Backend/Features/COMM/Tag/Tag_DTO.cs。建議修正方向：補 Tag 狀態欄位與關閉 API，列表補關閉按鈕，WebResource 前台/後台查詢排除關閉標籤。涉及 UI/TypeScript/API/CSR；AA 需補可鍵盤操作；SSR/弱掃風險低。</t>
        </is>
      </c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5" t="n">
        <v>70</v>
      </c>
      <c r="B69" s="15" t="inlineStr">
        <is>
          <t>測試站後台問題表(wcms)</t>
        </is>
      </c>
      <c r="C69" s="15" t="inlineStr">
        <is>
          <t>83</t>
        </is>
      </c>
      <c r="D69" s="15" t="inlineStr">
        <is>
          <t>廣告輪播</t>
        </is>
      </c>
      <c r="E69" s="15" t="inlineStr">
        <is>
          <t>Banner</t>
        </is>
      </c>
      <c r="F69" s="15" t="inlineStr">
        <is>
          <t>增加刪除單張圖片功能</t>
        </is>
      </c>
      <c r="G69" s="15" t="inlineStr">
        <is>
          <t>功能/資料</t>
        </is>
      </c>
      <c r="H69" s="15" t="inlineStr">
        <is>
          <t>高</t>
        </is>
      </c>
      <c r="I69" s="15" t="inlineStr">
        <is>
          <t>M</t>
        </is>
      </c>
      <c r="J69" s="15" t="n">
        <v>2</v>
      </c>
      <c r="K69" s="15" t="inlineStr">
        <is>
          <t>已完成</t>
        </is>
      </c>
      <c r="L69" s="15" t="inlineStr">
        <is>
          <t>複驗通過</t>
        </is>
      </c>
      <c r="M69" s="15" t="inlineStr">
        <is>
          <t>2026-05-27</t>
        </is>
      </c>
      <c r="N69" s="15" t="inlineStr">
        <is>
          <t>src/Features/Pages/Server/BizFunc/WEB/Banner；src/Features/WEB/Banner</t>
        </is>
      </c>
      <c r="O69" s="15" t="inlineStr">
        <is>
          <t>已完成</t>
        </is>
      </c>
      <c r="P69" s="17" t="inlineStr">
        <is>
          <t>已依 GitHub main 複驗：BannerSlider 表單的 detail tab 已實作 onRemoveTab，removeOne 會移除指定 BannerDetail 並同步清除其 BannerDetailInfo，可刪除單張輪播圖片。涉及 UI/表單資料。</t>
        </is>
      </c>
      <c r="Q69" s="17" t="inlineStr">
        <is>
          <t>2026-05-27</t>
        </is>
      </c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8" t="n">
        <v>71</v>
      </c>
      <c r="B70" s="18" t="inlineStr">
        <is>
          <t>測試站後台問題表(wcms)</t>
        </is>
      </c>
      <c r="C70" s="18" t="inlineStr">
        <is>
          <t>87</t>
        </is>
      </c>
      <c r="D70" s="18" t="inlineStr">
        <is>
          <t>廣告輪播/學發組內頁Banner</t>
        </is>
      </c>
      <c r="E70" s="18" t="inlineStr">
        <is>
          <t>Banner</t>
        </is>
      </c>
      <c r="F70" s="18" t="inlineStr">
        <is>
          <t>新增【圖片2】，設定完成後再回到該輪播類別刪除此張圖片，但無法刪除。</t>
        </is>
      </c>
      <c r="G70" s="18" t="inlineStr">
        <is>
          <t>功能/資料</t>
        </is>
      </c>
      <c r="H70" s="18" t="inlineStr">
        <is>
          <t>高</t>
        </is>
      </c>
      <c r="I70" s="18" t="inlineStr">
        <is>
          <t>M</t>
        </is>
      </c>
      <c r="J70" s="18" t="n">
        <v>2</v>
      </c>
      <c r="K70" s="18" t="inlineStr">
        <is>
          <t>已完成</t>
        </is>
      </c>
      <c r="L70" s="18" t="inlineStr">
        <is>
          <t>複驗通過</t>
        </is>
      </c>
      <c r="M70" s="18" t="inlineStr">
        <is>
          <t>2026-05-27</t>
        </is>
      </c>
      <c r="N70" s="18" t="inlineStr">
        <is>
          <t>src/Features/Pages/Server/BizFunc/WEB/Banner；src/Features/WEB/Banner</t>
        </is>
      </c>
      <c r="O70" s="18" t="inlineStr">
        <is>
          <t>已完成</t>
        </is>
      </c>
      <c r="P70" s="17" t="inlineStr">
        <is>
          <t>已依 GitHub main 複驗：BannerSlider 刪除圖片頁籤使用 RowId/BannerId 複合鍵過濾，並同步刪除子明細，針對新增圖片2後再刪除的資料殘留問題已有程式處理。涉及 UI/資料同步。</t>
        </is>
      </c>
      <c r="Q70" s="17" t="inlineStr">
        <is>
          <t>2026-05-27</t>
        </is>
      </c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5" t="n">
        <v>72</v>
      </c>
      <c r="B71" s="15" t="inlineStr">
        <is>
          <t>測試站後台問題表(wcms)</t>
        </is>
      </c>
      <c r="C71" s="15" t="inlineStr">
        <is>
          <t>112</t>
        </is>
      </c>
      <c r="D71" s="15" t="inlineStr">
        <is>
          <t>搜尋功能</t>
        </is>
      </c>
      <c r="E71" s="15" t="inlineStr">
        <is>
          <t>Announcement</t>
        </is>
      </c>
      <c r="F71" s="15" t="inlineStr">
        <is>
          <t>搜尋功能記得設定</t>
        </is>
      </c>
      <c r="G71" s="15" t="inlineStr">
        <is>
          <t>搜尋</t>
        </is>
      </c>
      <c r="H71" s="15" t="inlineStr">
        <is>
          <t>高</t>
        </is>
      </c>
      <c r="I71" s="15" t="inlineStr">
        <is>
          <t>M</t>
        </is>
      </c>
      <c r="J71" s="15" t="n">
        <v>2</v>
      </c>
      <c r="K71" s="15" t="inlineStr">
        <is>
          <t>已完成</t>
        </is>
      </c>
      <c r="L71" s="15" t="inlineStr">
        <is>
          <t>複驗通過</t>
        </is>
      </c>
      <c r="M71" s="15" t="inlineStr">
        <is>
          <t>2026-05-27</t>
        </is>
      </c>
      <c r="N71" s="15" t="inlineStr">
        <is>
          <t>src/Features/Pages/Server/BizFunc/WEB/Announcement；src/Features/Pages/Client/...</t>
        </is>
      </c>
      <c r="O71" s="15" t="inlineStr">
        <is>
          <t>已完成</t>
        </is>
      </c>
      <c r="P71" s="17" t="inlineStr">
        <is>
          <t>已依 GitHub main 複驗：Announcement 後台列表已接 Server_SearchBar，提供公告標題文字搜尋與分類下拉搜尋，並組成 Title Like 與 Categories HasAny 條件。涉及 UI/API/查詢條件，程式層通過。</t>
        </is>
      </c>
      <c r="Q71" s="17" t="inlineStr">
        <is>
          <t>2026-05-27</t>
        </is>
      </c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8" t="n">
        <v>73</v>
      </c>
      <c r="B72" s="18" t="inlineStr">
        <is>
          <t>測試站後台問題表(wcms)</t>
        </is>
      </c>
      <c r="C72" s="18" t="inlineStr">
        <is>
          <t>136</t>
        </is>
      </c>
      <c r="D72" s="18" t="inlineStr">
        <is>
          <t>增加欄位</t>
        </is>
      </c>
      <c r="E72" s="18" t="inlineStr">
        <is>
          <t>SpecResearch / SpecUSR</t>
        </is>
      </c>
      <c r="F72" s="18" t="inlineStr">
        <is>
          <t>研究計畫功能裡的"優秀學位論文與創作獎"要增加"指導教授"這個欄位</t>
        </is>
      </c>
      <c r="G72" s="18" t="inlineStr">
        <is>
          <t>功能/資料</t>
        </is>
      </c>
      <c r="H72" s="18" t="inlineStr">
        <is>
          <t>高</t>
        </is>
      </c>
      <c r="I72" s="18" t="inlineStr">
        <is>
          <t>M</t>
        </is>
      </c>
      <c r="J72" s="18" t="n">
        <v>2</v>
      </c>
      <c r="K72" s="18" t="inlineStr">
        <is>
          <t>已完成</t>
        </is>
      </c>
      <c r="L72" s="18" t="inlineStr">
        <is>
          <t>複驗通過</t>
        </is>
      </c>
      <c r="M72" s="18" t="inlineStr">
        <is>
          <t>2026-05-27</t>
        </is>
      </c>
      <c r="N72" s="18" t="inlineStr">
        <is>
          <t>src/SpecFetures/1810/Pages/Server/BizFunc/WEB/SpecResearch；SpecUSR</t>
        </is>
      </c>
      <c r="O72" s="18" t="inlineStr">
        <is>
          <t>已完成</t>
        </is>
      </c>
      <c r="P72" s="17" t="inlineStr">
        <is>
          <t>第十六批 ZIP 複驗通過：SpecResearch Form/DTO/Model 已包含 Professor 欄位，zh-TW resx 已對應『指導教授』，en resx 為 Supervising Professor。</t>
        </is>
      </c>
      <c r="Q72" s="17" t="inlineStr">
        <is>
          <t>2026-05-27</t>
        </is>
      </c>
      <c r="R72" s="17" t="str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5" t="n">
        <v>74</v>
      </c>
      <c r="B73" s="15" t="inlineStr">
        <is>
          <t>測試站後台問題表(wcms)</t>
        </is>
      </c>
      <c r="C73" s="15" t="inlineStr">
        <is>
          <t>93</t>
        </is>
      </c>
      <c r="D73" s="15" t="inlineStr">
        <is>
          <t>內頁Banner</t>
        </is>
      </c>
      <c r="E73" s="15" t="inlineStr">
        <is>
          <t>Banner</t>
        </is>
      </c>
      <c r="F73" s="15" t="inlineStr">
        <is>
          <t>更改完圖片後，前台沒有同步顯示</t>
        </is>
      </c>
      <c r="G73" s="15" t="inlineStr">
        <is>
          <t>檔案/媒體</t>
        </is>
      </c>
      <c r="H73" s="15" t="inlineStr">
        <is>
          <t>高</t>
        </is>
      </c>
      <c r="I73" s="15" t="inlineStr">
        <is>
          <t>M</t>
        </is>
      </c>
      <c r="J73" s="15" t="n">
        <v>4</v>
      </c>
      <c r="K73" s="15" t="inlineStr">
        <is>
          <t>已完成</t>
        </is>
      </c>
      <c r="L73" s="15" t="inlineStr">
        <is>
          <t>複驗通過</t>
        </is>
      </c>
      <c r="M73" s="15" t="inlineStr">
        <is>
          <t>2026-05-27</t>
        </is>
      </c>
      <c r="N73" s="15" t="inlineStr">
        <is>
          <t>src/Features/Pages/Server/BizFunc/WEB/Banner；src/Features/WEB/Banner</t>
        </is>
      </c>
      <c r="O73" s="15" t="inlineStr">
        <is>
          <t>同84</t>
        </is>
      </c>
      <c r="P73" s="17" t="inlineStr">
        <is>
          <t>已依 GitHub main 複驗：BannerSlider 圖片欄位上傳成功後會將 PicSrcId 寫回 BannerDetail，預覽也以 Server_Preview 讀取目前 PicSrcId；更換圖片後前後台資料同步流程已具備。涉及 UI/API/檔案預覽。</t>
        </is>
      </c>
      <c r="Q73" s="17" t="inlineStr">
        <is>
          <t>2026-05-27</t>
        </is>
      </c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8" t="n">
        <v>75</v>
      </c>
      <c r="B74" s="18" t="inlineStr">
        <is>
          <t>測試站後台問題表(wcms)</t>
        </is>
      </c>
      <c r="C74" s="18" t="inlineStr">
        <is>
          <t>111</t>
        </is>
      </c>
      <c r="D74" s="18" t="inlineStr">
        <is>
          <t>新增功能</t>
        </is>
      </c>
      <c r="E74" s="18" t="inlineStr">
        <is>
          <t>FileArchive / 檔案資源</t>
        </is>
      </c>
      <c r="F74" s="18" t="inlineStr">
        <is>
          <t>檔案室可以新增連結</t>
        </is>
      </c>
      <c r="G74" s="18" t="inlineStr">
        <is>
          <t>檔案/媒體</t>
        </is>
      </c>
      <c r="H74" s="18" t="inlineStr">
        <is>
          <t>高</t>
        </is>
      </c>
      <c r="I74" s="18" t="inlineStr">
        <is>
          <t>M</t>
        </is>
      </c>
      <c r="J74" s="18" t="n">
        <v>4</v>
      </c>
      <c r="K74" s="18" t="inlineStr">
        <is>
          <t>已完成</t>
        </is>
      </c>
      <c r="L74" s="18" t="inlineStr">
        <is>
          <t>複驗通過</t>
        </is>
      </c>
      <c r="M74" s="18" t="inlineStr">
        <is>
          <t>2026-05-27</t>
        </is>
      </c>
      <c r="N74" s="18" t="inlineStr">
        <is>
          <t>src/Features/Pages/Server/BizFunc/WEB/FileArchive；src/Features/Pages/Client/B...</t>
        </is>
      </c>
      <c r="O74" s="18" t="inlineStr">
        <is>
          <t>退回</t>
        </is>
      </c>
      <c r="P74" s="17" t="inlineStr">
        <is>
          <t>已依 GitHub main 複驗：FileArchive 表單已提供 SubUrlComp，使用 LibUrlInput 維護 UrlDescription、Url、WindowTarget，且後端會檢查 URL 與說明是否成對填寫，可新增連結。涉及 UI/API/資料驗證。</t>
        </is>
      </c>
      <c r="Q74" s="17" t="inlineStr">
        <is>
          <t>2026-05-27</t>
        </is>
      </c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5" t="n">
        <v>76</v>
      </c>
      <c r="B75" s="15" t="inlineStr">
        <is>
          <t>專案ZIP對標補漏</t>
        </is>
      </c>
      <c r="C75" s="15" t="inlineStr">
        <is>
          <t>ZIP-002</t>
        </is>
      </c>
      <c r="D75" s="15" t="inlineStr">
        <is>
          <t>BatchInvalid / BatchDelete 未實作</t>
        </is>
      </c>
      <c r="E75" s="15" t="inlineStr">
        <is>
          <t>ApiDataController</t>
        </is>
      </c>
      <c r="F75" s="15" t="inlineStr">
        <is>
          <t>SysCore/ApiDataController.cs 掃到 BatchInvalid、BatchDelete throw new NotImpleme...</t>
        </is>
      </c>
      <c r="G75" s="15" t="inlineStr">
        <is>
          <t>功能/資料</t>
        </is>
      </c>
      <c r="H75" s="15" t="inlineStr">
        <is>
          <t>高</t>
        </is>
      </c>
      <c r="I75" s="15" t="inlineStr">
        <is>
          <t>M</t>
        </is>
      </c>
      <c r="J75" s="15" t="n">
        <v>4</v>
      </c>
      <c r="K75" s="15" t="inlineStr">
        <is>
          <t>待修</t>
        </is>
      </c>
      <c r="L75" s="15" t="inlineStr">
        <is>
          <t>未驗收</t>
        </is>
      </c>
      <c r="M75" s="15" t="n"/>
      <c r="N75" s="15" t="inlineStr">
        <is>
          <t>SysCore/ApiDataController.cs</t>
        </is>
      </c>
      <c r="O75" s="15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8" t="n">
        <v>77</v>
      </c>
      <c r="B76" s="18" t="inlineStr">
        <is>
          <t>測試站後台問題表(wcms)</t>
        </is>
      </c>
      <c r="C76" s="18" t="inlineStr">
        <is>
          <t>128</t>
        </is>
      </c>
      <c r="D76" s="18" t="inlineStr">
        <is>
          <t>文字編輯器</t>
        </is>
      </c>
      <c r="E76" s="18" t="inlineStr">
        <is>
          <t>PageManagement / TinyMCE</t>
        </is>
      </c>
      <c r="F76" s="18" t="inlineStr">
        <is>
          <t>有時可以上傳圖片成功、有時不行
(北藝大圖書館後台才有此問題)</t>
        </is>
      </c>
      <c r="G76" s="18" t="inlineStr">
        <is>
          <t>檔案/媒體</t>
        </is>
      </c>
      <c r="H76" s="18" t="inlineStr">
        <is>
          <t>高</t>
        </is>
      </c>
      <c r="I76" s="18" t="inlineStr">
        <is>
          <t>M</t>
        </is>
      </c>
      <c r="J76" s="18" t="n">
        <v>4</v>
      </c>
      <c r="K76" s="18" t="inlineStr">
        <is>
          <t>部分複驗，待實機確認</t>
        </is>
      </c>
      <c r="L76" s="18" t="inlineStr">
        <is>
          <t>部分複驗，待實機確認</t>
        </is>
      </c>
      <c r="M76" s="18" t="str"/>
      <c r="N76" s="18" t="inlineStr">
        <is>
          <t>src/Features/Pages/Server/BizFunc/WEB/PageManagement；src/SysCore/Components/T...</t>
        </is>
      </c>
      <c r="O76" s="18" t="inlineStr">
        <is>
          <t>在確認下詳細狀況，若未再發生就先結案</t>
        </is>
      </c>
      <c r="P76" s="26" t="inlineStr">
        <is>
          <t>第十九批依本次完整 ZIP 重新複驗：TinyMCE_Comp.tsx 已改為載入同站 /tinymce/tinymce.min.js 並處理載入失敗訊息；TinyMCE_Hook.ts 以 FileManagementAPI.Server_UploadTemp、FormData(file)、internalId 回填圖片 src/data-internalid，並有上傳失敗提示。惟「北藝大圖書館後台圖片偶發上傳失敗」屬環境、權限、檔案大小/副檔名、Network 或後端回應偶發問題，需正式站多檔案多情境實測。涉及 API、File Upload、弱掃/CSP、UI、Console/Network；維持待實機確認。</t>
        </is>
      </c>
      <c r="Q76" s="26" t="inlineStr">
        <is>
          <t>2026-05-27</t>
        </is>
      </c>
      <c r="R76" s="26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5" t="n">
        <v>78</v>
      </c>
      <c r="B77" s="15" t="inlineStr">
        <is>
          <t>測試站後台問題表(wcms)</t>
        </is>
      </c>
      <c r="C77" s="15" t="inlineStr">
        <is>
          <t>150</t>
        </is>
      </c>
      <c r="D77" s="15" t="inlineStr">
        <is>
          <t>列表</t>
        </is>
      </c>
      <c r="E77" s="15" t="inlineStr">
        <is>
          <t>Announcement</t>
        </is>
      </c>
      <c r="F77" s="15" t="inlineStr">
        <is>
          <t>有設定置頂狀態的應該列於列表最前面位置，條件判定請再確認一下（後台列表顯示要與前台一致）https://ord.ntua.edu.tw/allnews/a...</t>
        </is>
      </c>
      <c r="G77" s="15" t="inlineStr">
        <is>
          <t>排序/狀態</t>
        </is>
      </c>
      <c r="H77" s="15" t="inlineStr">
        <is>
          <t>高</t>
        </is>
      </c>
      <c r="I77" s="15" t="inlineStr">
        <is>
          <t>M</t>
        </is>
      </c>
      <c r="J77" s="15" t="n">
        <v>4</v>
      </c>
      <c r="K77" s="15" t="inlineStr">
        <is>
          <t>已完成</t>
        </is>
      </c>
      <c r="L77" s="15" t="inlineStr">
        <is>
          <t>複驗通過</t>
        </is>
      </c>
      <c r="M77" s="15" t="inlineStr">
        <is>
          <t>2026-05-27</t>
        </is>
      </c>
      <c r="N77" s="15" t="inlineStr">
        <is>
          <t>src/Features/Pages/Server/BizFunc/WEB/Announcement；src/Features/Pages/Client/...</t>
        </is>
      </c>
      <c r="O77" s="15" t="inlineStr">
        <is>
          <t>前台問題追蹤表#179</t>
        </is>
      </c>
      <c r="P77" s="17" t="inlineStr">
        <is>
          <t>已依 GitHub main 複驗：Announcement 後台列表 QueryParam 使用 ContentStatus 置頂 RankGroups，且排序改以 CreateTime DESC；置頂公告會先列於列表前方，並避免單純因 ModifyTime 更新而往前擠。涉及 UI/API/排序。</t>
        </is>
      </c>
      <c r="Q77" s="17" t="inlineStr">
        <is>
          <t>2026-05-27</t>
        </is>
      </c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8" t="n">
        <v>81</v>
      </c>
      <c r="B78" s="18" t="inlineStr">
        <is>
          <t>測試站後台問題表(wcms)</t>
        </is>
      </c>
      <c r="C78" s="18" t="inlineStr">
        <is>
          <t>14</t>
        </is>
      </c>
      <c r="D78" s="18" t="inlineStr">
        <is>
          <t>公告/新增、編輯</t>
        </is>
      </c>
      <c r="E78" s="18" t="inlineStr">
        <is>
          <t>Announcement</t>
        </is>
      </c>
      <c r="F78" s="18" t="inlineStr">
        <is>
          <t>內文資料無法預覽圖片（會破圖）</t>
        </is>
      </c>
      <c r="G78" s="18" t="inlineStr">
        <is>
          <t>編輯器</t>
        </is>
      </c>
      <c r="H78" s="18" t="inlineStr">
        <is>
          <t>高</t>
        </is>
      </c>
      <c r="I78" s="18" t="inlineStr">
        <is>
          <t>M</t>
        </is>
      </c>
      <c r="J78" s="18" t="n">
        <v>4</v>
      </c>
      <c r="K78" s="18" t="inlineStr">
        <is>
          <t>已完成</t>
        </is>
      </c>
      <c r="L78" s="18" t="inlineStr">
        <is>
          <t>複驗通過</t>
        </is>
      </c>
      <c r="M78" s="18" t="inlineStr">
        <is>
          <t>2026-05-27</t>
        </is>
      </c>
      <c r="N78" s="18" t="inlineStr">
        <is>
          <t>src/Features/Pages/Server/BizFunc/WEB/Announcement；src/Features/Pages/Client/...</t>
        </is>
      </c>
      <c r="O78" s="18" t="inlineStr">
        <is>
          <t>(預覽相關)
TinyMCE移除預覽功能，改由表單的預覽按鈕
測試內容:編輯器沒有預覽按鈕即可通過</t>
        </is>
      </c>
      <c r="P78" s="17" t="inlineStr">
        <is>
          <t>已依 GitHub main 複驗：CMS HTML 會將含 data-internalid 的 img 轉成 Public_Preview URL，並補 alt/loading/decoding；公告內文圖片破圖問題程式層已具備前台預覽支援。涉及 SSR/CSR/UI/AA。</t>
        </is>
      </c>
      <c r="Q78" s="17" t="inlineStr">
        <is>
          <t>2026-05-27</t>
        </is>
      </c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5" t="n">
        <v>82</v>
      </c>
      <c r="B79" s="15" t="inlineStr">
        <is>
          <t>測試站後台問題表(wcms)</t>
        </is>
      </c>
      <c r="C79" s="15" t="inlineStr">
        <is>
          <t>59</t>
        </is>
      </c>
      <c r="D79" s="15" t="inlineStr">
        <is>
          <t>頁面</t>
        </is>
      </c>
      <c r="E79" s="15" t="inlineStr">
        <is>
          <t>WebResource</t>
        </is>
      </c>
      <c r="F79" s="15" t="inlineStr">
        <is>
          <t>1.圖片顯示不出來
2.Youtube無法崁入
3.文字超連結沒用</t>
        </is>
      </c>
      <c r="G79" s="15" t="inlineStr">
        <is>
          <t>編輯器</t>
        </is>
      </c>
      <c r="H79" s="15" t="inlineStr">
        <is>
          <t>高</t>
        </is>
      </c>
      <c r="I79" s="15" t="inlineStr">
        <is>
          <t>M</t>
        </is>
      </c>
      <c r="J79" s="15" t="n">
        <v>4</v>
      </c>
      <c r="K79" s="15" t="inlineStr">
        <is>
          <t>已完成</t>
        </is>
      </c>
      <c r="L79" s="15" t="inlineStr">
        <is>
          <t>複驗通過</t>
        </is>
      </c>
      <c r="M79" s="15" t="inlineStr">
        <is>
          <t>2026-05-27</t>
        </is>
      </c>
      <c r="N79" s="15" t="inlineStr">
        <is>
          <t>src/Features/Pages/Server/BizFunc/WEB/WebResource；src/Features/Pages/Client/B...</t>
        </is>
      </c>
      <c r="O79" s="15" t="inlineStr">
        <is>
          <t>(預覽相關)
TinyMCE移除預覽功能，改由表單的預覽按鈕
測試內容:編輯器沒有預覽按鈕即可通過</t>
        </is>
      </c>
      <c r="P79" s="17" t="inlineStr">
        <is>
          <t>第十七批依本次 ZIP 複驗：WebResource 前台已支援圖片預覽 FileManagementAPI、YouTube 短網址轉 embed iframe，以及一般連結 LangLink / venobox iframe；可覆蓋圖片、YouTube 嵌入與文字超連結三個顯示需求。</t>
        </is>
      </c>
      <c r="Q79" s="17" t="inlineStr">
        <is>
          <t>2026-05-27</t>
        </is>
      </c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8" t="n">
        <v>83</v>
      </c>
      <c r="B80" s="18" t="inlineStr">
        <is>
          <t>測試站後台問題表(wcms)</t>
        </is>
      </c>
      <c r="C80" s="18" t="inlineStr">
        <is>
          <t>110</t>
        </is>
      </c>
      <c r="D80" s="18" t="inlineStr">
        <is>
          <t>文字編輯器</t>
        </is>
      </c>
      <c r="E80" s="18" t="inlineStr">
        <is>
          <t>PageManagement / TinyMCE</t>
        </is>
      </c>
      <c r="F80" s="18" t="inlineStr">
        <is>
          <t>從1810複製原始碼，貼至WCMS測試站，呈現畫面不一致</t>
        </is>
      </c>
      <c r="G80" s="18" t="inlineStr">
        <is>
          <t>編輯器</t>
        </is>
      </c>
      <c r="H80" s="18" t="inlineStr">
        <is>
          <t>高</t>
        </is>
      </c>
      <c r="I80" s="18" t="inlineStr">
        <is>
          <t>M</t>
        </is>
      </c>
      <c r="J80" s="18" t="n">
        <v>4</v>
      </c>
      <c r="K80" s="18" t="inlineStr">
        <is>
          <t>已完成</t>
        </is>
      </c>
      <c r="L80" s="18" t="inlineStr">
        <is>
          <t>複驗通過</t>
        </is>
      </c>
      <c r="M80" s="18" t="inlineStr">
        <is>
          <t>2026-05-27</t>
        </is>
      </c>
      <c r="N80" s="18" t="inlineStr">
        <is>
          <t>src/Features/Pages/Server/BizFunc/WEB/PageManagement；src/SysCore/Components/T...</t>
        </is>
      </c>
      <c r="O80" s="18" t="inlineStr">
        <is>
          <t>格式一致，css可能未套到版導致</t>
        </is>
      </c>
      <c r="P80" s="26" t="inlineStr">
        <is>
          <t>已依本次 ZIP 複驗：TinyMCE 已有 paste / valid_styles / invalid_elements / content_css 與格式複製、清除格式、iframe/PDF 等處理；從 1810 複製原始碼貼入時，程式層已有格式保留與安全過濾流程。對應檔案：TinyMCE_Hook.ts、TinyMCE_Comp.tsx。</t>
        </is>
      </c>
      <c r="Q80" s="26" t="inlineStr">
        <is>
          <t>2026-05-27</t>
        </is>
      </c>
      <c r="R80" s="26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5" t="n">
        <v>84</v>
      </c>
      <c r="B81" s="15" t="inlineStr">
        <is>
          <t>測試站後台問題表(wcms)</t>
        </is>
      </c>
      <c r="C81" s="15" t="inlineStr">
        <is>
          <t>27</t>
        </is>
      </c>
      <c r="D81" s="15" t="inlineStr">
        <is>
          <t>公告/新增、編輯</t>
        </is>
      </c>
      <c r="E81" s="15" t="inlineStr">
        <is>
          <t>Announcement</t>
        </is>
      </c>
      <c r="F81" s="15" t="inlineStr">
        <is>
          <t>新增iFrame時將alt輸入後儲存，再次回到此公告點進去看後剛剛輸入的alt欄位資料不見了</t>
        </is>
      </c>
      <c r="G81" s="15" t="inlineStr">
        <is>
          <t>編輯器</t>
        </is>
      </c>
      <c r="H81" s="15" t="inlineStr">
        <is>
          <t>高</t>
        </is>
      </c>
      <c r="I81" s="15" t="inlineStr">
        <is>
          <t>M</t>
        </is>
      </c>
      <c r="J81" s="15" t="n">
        <v>4</v>
      </c>
      <c r="K81" s="15" t="inlineStr">
        <is>
          <t>已完成</t>
        </is>
      </c>
      <c r="L81" s="15" t="inlineStr">
        <is>
          <t>複驗通過</t>
        </is>
      </c>
      <c r="M81" s="15" t="inlineStr">
        <is>
          <t>2026-05-27</t>
        </is>
      </c>
      <c r="N81" s="15" t="inlineStr">
        <is>
          <t>src/Features/Pages/Server/BizFunc/WEB/Announcement；src/Features/Pages/Client/...</t>
        </is>
      </c>
      <c r="O81" s="15" t="inlineStr">
        <is>
          <t>已完成</t>
        </is>
      </c>
      <c r="P81" s="17" t="inlineStr">
        <is>
          <t>已依 GitHub main 複驗：TinyMCE iFrame 編輯流程會讀取並回寫 title/src/width/height，序列化前也同步 data-mce-p-title 等快取欄位；iFrame alt/title 再編輯資料消失問題程式層通過。涉及 UI/AA/CSR。</t>
        </is>
      </c>
      <c r="Q81" s="17" t="inlineStr">
        <is>
          <t>2026-05-27</t>
        </is>
      </c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8" t="n">
        <v>85</v>
      </c>
      <c r="B82" s="18" t="inlineStr">
        <is>
          <t>測試站後台問題表(wcms)</t>
        </is>
      </c>
      <c r="C82" s="18" t="inlineStr">
        <is>
          <t>34</t>
        </is>
      </c>
      <c r="D82" s="18" t="inlineStr">
        <is>
          <t>相簿</t>
        </is>
      </c>
      <c r="E82" s="18" t="inlineStr">
        <is>
          <t>Gallery</t>
        </is>
      </c>
      <c r="F82" s="18" t="inlineStr">
        <is>
          <t>上傳圖片後，排版跑掉</t>
        </is>
      </c>
      <c r="G82" s="18" t="inlineStr">
        <is>
          <t>檔案/媒體</t>
        </is>
      </c>
      <c r="H82" s="18" t="inlineStr">
        <is>
          <t>高</t>
        </is>
      </c>
      <c r="I82" s="18" t="inlineStr">
        <is>
          <t>M</t>
        </is>
      </c>
      <c r="J82" s="18" t="n">
        <v>4</v>
      </c>
      <c r="K82" s="18" t="inlineStr">
        <is>
          <t>已完成</t>
        </is>
      </c>
      <c r="L82" s="18" t="inlineStr">
        <is>
          <t>複驗通過</t>
        </is>
      </c>
      <c r="M82" s="18" t="inlineStr">
        <is>
          <t>2026-05-27</t>
        </is>
      </c>
      <c r="N82" s="18" t="inlineStr">
        <is>
          <t>src/Features/Pages/Server/BizFunc/WEB/Gallery；src/Features/Pages/Client/BizFu...</t>
        </is>
      </c>
      <c r="O82" s="18" t="inlineStr">
        <is>
          <t>協助確認是否已完成?若無就直接退回</t>
        </is>
      </c>
      <c r="P82" s="17" t="inlineStr">
        <is>
          <t>已依 GitHub main 複驗：Gallery 多圖上傳後會將 internalId 新增到 GalleryPhotos，PhotoComp 以格狀 LibPicture 渲染相片、排序欄與語系明細；上傳圖片後排版資料流程已改為表單資料驅動。涉及 UI/CSR。</t>
        </is>
      </c>
      <c r="Q82" s="17" t="inlineStr">
        <is>
          <t>2026-05-27</t>
        </is>
      </c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5" t="n">
        <v>86</v>
      </c>
      <c r="B83" s="15" t="inlineStr">
        <is>
          <t>測試站後台問題表(wcms)</t>
        </is>
      </c>
      <c r="C83" s="15" t="inlineStr">
        <is>
          <t>46</t>
        </is>
      </c>
      <c r="D83" s="15" t="inlineStr">
        <is>
          <t>相簿/編輯</t>
        </is>
      </c>
      <c r="E83" s="15" t="inlineStr">
        <is>
          <t>Gallery</t>
        </is>
      </c>
      <c r="F83" s="15" t="inlineStr">
        <is>
          <t>一次上傳多張圖片後，按【儲存並上傳】後就出現錯誤訊息</t>
        </is>
      </c>
      <c r="G83" s="15" t="inlineStr">
        <is>
          <t>檔案/媒體</t>
        </is>
      </c>
      <c r="H83" s="15" t="inlineStr">
        <is>
          <t>高</t>
        </is>
      </c>
      <c r="I83" s="15" t="inlineStr">
        <is>
          <t>M</t>
        </is>
      </c>
      <c r="J83" s="15" t="n">
        <v>4</v>
      </c>
      <c r="K83" s="15" t="inlineStr">
        <is>
          <t>已完成</t>
        </is>
      </c>
      <c r="L83" s="15" t="inlineStr">
        <is>
          <t>複驗通過</t>
        </is>
      </c>
      <c r="M83" s="15" t="inlineStr">
        <is>
          <t>2026-05-27</t>
        </is>
      </c>
      <c r="N83" s="15" t="inlineStr">
        <is>
          <t>src/Features/Pages/Server/BizFunc/WEB/Gallery；src/Features/Pages/Client/BizFu...</t>
        </is>
      </c>
      <c r="O83" s="15" t="inlineStr">
        <is>
          <t>重複檔案異常，修正中</t>
        </is>
      </c>
      <c r="P83" s="17" t="inlineStr">
        <is>
          <t>已依 GitHub main 複驗：Gallery 上傳流程逐檔送出 UploadTemp，支援多選，成功後 appendPhotosToForm 將多張圖依 RowId 追加進 GalleryPhotos；批次上傳後儲存流程程式層通過。涉及 API/檔案上傳/UI。</t>
        </is>
      </c>
      <c r="Q83" s="17" t="inlineStr">
        <is>
          <t>2026-05-27</t>
        </is>
      </c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8" t="n">
        <v>87</v>
      </c>
      <c r="B84" s="18" t="inlineStr">
        <is>
          <t>測試站後台問題表(wcms)</t>
        </is>
      </c>
      <c r="C84" s="18" t="inlineStr">
        <is>
          <t>48</t>
        </is>
      </c>
      <c r="D84" s="18" t="inlineStr">
        <is>
          <t>研究計畫</t>
        </is>
      </c>
      <c r="E84" s="18" t="inlineStr">
        <is>
          <t>SpecResearch / SpecUSR</t>
        </is>
      </c>
      <c r="F84" s="18" t="inlineStr">
        <is>
          <t>全部的狀態都被設"置頂"</t>
        </is>
      </c>
      <c r="G84" s="18" t="inlineStr">
        <is>
          <t>排序/狀態</t>
        </is>
      </c>
      <c r="H84" s="18" t="inlineStr">
        <is>
          <t>高</t>
        </is>
      </c>
      <c r="I84" s="18" t="inlineStr">
        <is>
          <t>M</t>
        </is>
      </c>
      <c r="J84" s="18" t="n">
        <v>4</v>
      </c>
      <c r="K84" s="18" t="inlineStr">
        <is>
          <t>退回，未通過</t>
        </is>
      </c>
      <c r="L84" s="18" t="inlineStr">
        <is>
          <t>複驗未通過</t>
        </is>
      </c>
      <c r="M84" s="18" t="n"/>
      <c r="N84" s="18" t="inlineStr">
        <is>
          <t>src/SpecFetures/1810/Pages/Server/BizFunc/WEB/SpecResearch；SpecUSR</t>
        </is>
      </c>
      <c r="O84" s="18" t="inlineStr">
        <is>
          <t>已完成</t>
        </is>
      </c>
      <c r="P84" s="26" t="inlineStr">
        <is>
          <t>已依本次 ZIP 複驗：SpecResearch / SpecUSR 前台 loader 仍保留 ContentStatus 條件與 RankGroups: ContentStatus &amp; 1，後端 DTO 也仍有 ContentStatus 欄位，尚未完全移除/排除「置頂」狀態影響。</t>
        </is>
      </c>
      <c r="Q84" s="26" t="inlineStr">
        <is>
          <t>2026-05-27</t>
        </is>
      </c>
      <c r="R84" s="26" t="inlineStr">
        <is>
          <t>不符合處：研究計畫/USR 仍保留置頂狀態排序邏輯，未排除全部狀態被設為置頂時造成排序/標示異常。影響範圍：SpecResearch / SpecUSR 前台列表排序、資料狀態呈現與舊資料匯入結果。對應檔案：src/SpecFetures/1810/Pages/Client/BizFunc/WEB/SpecResearch/SpecResearch_List_Loader.ts、SpecUSR_List_Loader.ts、後端 SpecResearch_DTO.cs、SpecUSR_DTO.cs。建議修正方向：依需求移除前台 RankGroups 置頂排序，或在匯入/後台儲存時明確清除不該存在的 Top 狀態。涉及：UI/API/CSR/資料轉換。</t>
        </is>
      </c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5" t="n">
        <v>88</v>
      </c>
      <c r="B85" s="15" t="inlineStr">
        <is>
          <t>測試站後台問題表(wcms)</t>
        </is>
      </c>
      <c r="C85" s="15" t="inlineStr">
        <is>
          <t>79</t>
        </is>
      </c>
      <c r="D85" s="15" t="inlineStr">
        <is>
          <t>網路資源/編輯</t>
        </is>
      </c>
      <c r="E85" s="15" t="inlineStr">
        <is>
          <t>WebResource</t>
        </is>
      </c>
      <c r="F85" s="15" t="inlineStr">
        <is>
          <t>已上傳的圖片無法顯示查看</t>
        </is>
      </c>
      <c r="G85" s="15" t="inlineStr">
        <is>
          <t>檔案/媒體</t>
        </is>
      </c>
      <c r="H85" s="15" t="inlineStr">
        <is>
          <t>高</t>
        </is>
      </c>
      <c r="I85" s="15" t="inlineStr">
        <is>
          <t>M</t>
        </is>
      </c>
      <c r="J85" s="15" t="n">
        <v>4</v>
      </c>
      <c r="K85" s="15" t="inlineStr">
        <is>
          <t>已完成</t>
        </is>
      </c>
      <c r="L85" s="15" t="inlineStr">
        <is>
          <t>複驗通過</t>
        </is>
      </c>
      <c r="M85" s="15" t="inlineStr">
        <is>
          <t>2026-05-27</t>
        </is>
      </c>
      <c r="N85" s="15" t="inlineStr">
        <is>
          <t>src/Features/Pages/Server/BizFunc/WEB/WebResource；src/Features/Pages/Client/B...</t>
        </is>
      </c>
      <c r="O85" s="15" t="inlineStr">
        <is>
          <t>在確定一次圖片狀況(svg暫時會有這問題)</t>
        </is>
      </c>
      <c r="P85" s="17" t="inlineStr">
        <is>
          <t>第十七批依本次 ZIP 複驗：WebResource 後台列表 buildPictureCell 會以 PicId 呼叫 Server_Preview_Url 顯示縮圖；表單 PicInput 也會以既有 PicId 顯示預覽，已上傳圖片可查看的程式流程已補上。</t>
        </is>
      </c>
      <c r="Q85" s="17" t="inlineStr">
        <is>
          <t>2026-05-27</t>
        </is>
      </c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8" t="n">
        <v>89</v>
      </c>
      <c r="B86" s="18" t="inlineStr">
        <is>
          <t>測試站後台問題表(wcms)</t>
        </is>
      </c>
      <c r="C86" s="18" t="inlineStr">
        <is>
          <t>85</t>
        </is>
      </c>
      <c r="D86" s="18" t="inlineStr">
        <is>
          <t>廣告輪播</t>
        </is>
      </c>
      <c r="E86" s="18" t="inlineStr">
        <is>
          <t>FileArchive / 檔案資源</t>
        </is>
      </c>
      <c r="F86" s="18" t="inlineStr">
        <is>
          <t>另存BN圖片，儲存下載後圖檔格式錯誤</t>
        </is>
      </c>
      <c r="G86" s="18" t="inlineStr">
        <is>
          <t>檔案/媒體</t>
        </is>
      </c>
      <c r="H86" s="18" t="inlineStr">
        <is>
          <t>高</t>
        </is>
      </c>
      <c r="I86" s="18" t="inlineStr">
        <is>
          <t>M</t>
        </is>
      </c>
      <c r="J86" s="18" t="n">
        <v>4</v>
      </c>
      <c r="K86" s="18" t="inlineStr">
        <is>
          <t>已完成</t>
        </is>
      </c>
      <c r="L86" s="18" t="inlineStr">
        <is>
          <t>複驗通過</t>
        </is>
      </c>
      <c r="M86" s="18" t="inlineStr">
        <is>
          <t>2026-05-27</t>
        </is>
      </c>
      <c r="N86" s="18" t="inlineStr">
        <is>
          <t>src/Features/Pages/Server/BizFunc/WEB/FileArchive；src/Features/Pages/Client/B...</t>
        </is>
      </c>
      <c r="O86" s="18" t="inlineStr">
        <is>
          <t>後端資源實體檔案取得邏輯調整，非廣告輪播問題</t>
        </is>
      </c>
      <c r="P86" s="17" t="inlineStr">
        <is>
          <t>第十七批依本次 ZIP 複驗：FileManagement_API 的下載流程以資料庫 FileName / query fileName 與原始副檔名組出下載檔名，並以 PhysicalFile(contentType, downloadFileName) 回傳；另存 BN 圖片不應再只拿 internalId 或錯誤副檔名。</t>
        </is>
      </c>
      <c r="Q86" s="17" t="inlineStr">
        <is>
          <t>2026-05-27</t>
        </is>
      </c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5" t="n">
        <v>90</v>
      </c>
      <c r="B87" s="15" t="inlineStr">
        <is>
          <t>測試站後台問題表(wcms)</t>
        </is>
      </c>
      <c r="C87" s="15" t="inlineStr">
        <is>
          <t>86</t>
        </is>
      </c>
      <c r="D87" s="15" t="inlineStr">
        <is>
          <t>廣告輪播</t>
        </is>
      </c>
      <c r="E87" s="15" t="inlineStr">
        <is>
          <t>Banner</t>
        </is>
      </c>
      <c r="F87" s="15" t="inlineStr">
        <is>
          <t>各組內頁BN與前台顯示不同（前台各內頁BN都一樣不會動）</t>
        </is>
      </c>
      <c r="G87" s="15" t="inlineStr">
        <is>
          <t>功能/資料</t>
        </is>
      </c>
      <c r="H87" s="15" t="inlineStr">
        <is>
          <t>高</t>
        </is>
      </c>
      <c r="I87" s="15" t="inlineStr">
        <is>
          <t>M</t>
        </is>
      </c>
      <c r="J87" s="15" t="n">
        <v>4</v>
      </c>
      <c r="K87" s="15" t="inlineStr">
        <is>
          <t>已完成</t>
        </is>
      </c>
      <c r="L87" s="15" t="inlineStr">
        <is>
          <t>複驗通過</t>
        </is>
      </c>
      <c r="M87" s="15" t="inlineStr">
        <is>
          <t>2026-05-27</t>
        </is>
      </c>
      <c r="N87" s="15" t="inlineStr">
        <is>
          <t>src/Features/Pages/Server/BizFunc/WEB/Banner；src/Features/WEB/Banner</t>
        </is>
      </c>
      <c r="O87" s="15" t="inlineStr">
        <is>
          <t>前台SubPage目前寫死，改抓Banner資料呈現
(預估4hr)</t>
        </is>
      </c>
      <c r="P87" s="17" t="inlineStr">
        <is>
          <t>第十六批 ZIP 複驗通過：前台 Banner 會依節點 bannerId 讀取 BannerData，過濾上下架與圖片後依 Sort 排序，並套用 Interval/Speed 動態輪播設定。</t>
        </is>
      </c>
      <c r="Q87" s="17" t="inlineStr">
        <is>
          <t>2026-05-27</t>
        </is>
      </c>
      <c r="R87" s="17" t="str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8" t="n">
        <v>91</v>
      </c>
      <c r="B88" s="18" t="inlineStr">
        <is>
          <t>測試站後台問題表(wcms)</t>
        </is>
      </c>
      <c r="C88" s="18" t="inlineStr">
        <is>
          <t>95</t>
        </is>
      </c>
      <c r="D88" s="18" t="inlineStr">
        <is>
          <t>檔案室</t>
        </is>
      </c>
      <c r="E88" s="18" t="inlineStr">
        <is>
          <t>FileArchive / 檔案資源</t>
        </is>
      </c>
      <c r="F88" s="18" t="inlineStr">
        <is>
          <t>列表點入和送出新檔顯示錯誤</t>
        </is>
      </c>
      <c r="G88" s="18" t="inlineStr">
        <is>
          <t>檔案/媒體</t>
        </is>
      </c>
      <c r="H88" s="18" t="inlineStr">
        <is>
          <t>高</t>
        </is>
      </c>
      <c r="I88" s="18" t="inlineStr">
        <is>
          <t>M</t>
        </is>
      </c>
      <c r="J88" s="18" t="n">
        <v>4</v>
      </c>
      <c r="K88" s="18" t="inlineStr">
        <is>
          <t>已完成</t>
        </is>
      </c>
      <c r="L88" s="18" t="inlineStr">
        <is>
          <t>複驗通過</t>
        </is>
      </c>
      <c r="M88" s="18" t="inlineStr">
        <is>
          <t>2026-05-27</t>
        </is>
      </c>
      <c r="N88" s="18" t="inlineStr">
        <is>
          <t>src/Features/Pages/Server/BizFunc/WEB/FileArchive；src/Features/Pages/Client/B...</t>
        </is>
      </c>
      <c r="O88" s="18" t="inlineStr">
        <is>
          <t>已完成</t>
        </is>
      </c>
      <c r="P88" s="17" t="inlineStr">
        <is>
          <t>第十七批依本次 ZIP 複驗：FileArchive List 已接共用 ListGridTemplate 與 CRUD action，Form 使用 internalId 判斷新增/修改；檔案明細透過 LibFileInput 與 useSetTableFileField 寫回 FileSrcId / FileName，列表點入與新增送出流程已具備。</t>
        </is>
      </c>
      <c r="Q88" s="17" t="inlineStr">
        <is>
          <t>2026-05-27</t>
        </is>
      </c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5" t="n">
        <v>92</v>
      </c>
      <c r="B89" s="15" t="inlineStr">
        <is>
          <t>測試站後台問題表(wcms)</t>
        </is>
      </c>
      <c r="C89" s="15" t="inlineStr">
        <is>
          <t>105</t>
        </is>
      </c>
      <c r="D89" s="15" t="inlineStr">
        <is>
          <t>新增、編輯</t>
        </is>
      </c>
      <c r="E89" s="15" t="inlineStr">
        <is>
          <t>Announcement</t>
        </is>
      </c>
      <c r="F89" s="15" t="inlineStr">
        <is>
          <t>TinyMCE＞選取文字後上傳檔案會蓋掉原來的文字</t>
        </is>
      </c>
      <c r="G89" s="15" t="inlineStr">
        <is>
          <t>檔案/媒體</t>
        </is>
      </c>
      <c r="H89" s="15" t="inlineStr">
        <is>
          <t>高</t>
        </is>
      </c>
      <c r="I89" s="15" t="inlineStr">
        <is>
          <t>M</t>
        </is>
      </c>
      <c r="J89" s="15" t="n">
        <v>4</v>
      </c>
      <c r="K89" s="15" t="inlineStr">
        <is>
          <t>已完成</t>
        </is>
      </c>
      <c r="L89" s="15" t="inlineStr">
        <is>
          <t>複驗通過</t>
        </is>
      </c>
      <c r="M89" s="15" t="inlineStr">
        <is>
          <t>2026-05-27</t>
        </is>
      </c>
      <c r="N89" s="15" t="inlineStr">
        <is>
          <t>src/Features/Pages/Server/BizFunc/WEB/Announcement；src/Features/Pages/Client/...</t>
        </is>
      </c>
      <c r="O89" s="15" t="inlineStr">
        <is>
          <t>已完成</t>
        </is>
      </c>
      <c r="P89" s="17" t="inlineStr">
        <is>
          <t>已依 GitHub main 複驗：TinyMCE 檔案連結插入時，有選取文字會優先以 mceInsertLink 包成連結或更新既有 a，不會用檔名直接覆蓋選取文字；選取文字上傳檔案問題程式層通過。涉及 UI/AA/編輯器。</t>
        </is>
      </c>
      <c r="Q89" s="17" t="inlineStr">
        <is>
          <t>2026-05-27</t>
        </is>
      </c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8" t="n">
        <v>93</v>
      </c>
      <c r="B90" s="18" t="inlineStr">
        <is>
          <t>測試站後台問題表(wcms)</t>
        </is>
      </c>
      <c r="C90" s="18" t="inlineStr">
        <is>
          <t>132</t>
        </is>
      </c>
      <c r="D90" s="18" t="inlineStr">
        <is>
          <t>檔案上傳</t>
        </is>
      </c>
      <c r="E90" s="18" t="inlineStr">
        <is>
          <t>Announcement</t>
        </is>
      </c>
      <c r="F90" s="18" t="inlineStr">
        <is>
          <t>OpenDocument格式無法上傳(ODT)</t>
        </is>
      </c>
      <c r="G90" s="18" t="inlineStr">
        <is>
          <t>AA</t>
        </is>
      </c>
      <c r="H90" s="18" t="inlineStr">
        <is>
          <t>高</t>
        </is>
      </c>
      <c r="I90" s="18" t="inlineStr">
        <is>
          <t>M</t>
        </is>
      </c>
      <c r="J90" s="18" t="n">
        <v>4</v>
      </c>
      <c r="K90" s="18" t="inlineStr">
        <is>
          <t>已完成</t>
        </is>
      </c>
      <c r="L90" s="18" t="inlineStr">
        <is>
          <t>複驗通過</t>
        </is>
      </c>
      <c r="M90" s="18" t="inlineStr">
        <is>
          <t>2026-05-27</t>
        </is>
      </c>
      <c r="N90" s="18" t="inlineStr">
        <is>
          <t>src/Features/Pages/Server/BizFunc/WEB/Announcement；src/Features/Pages/Client/...</t>
        </is>
      </c>
      <c r="O90" s="18" t="inlineStr">
        <is>
          <t>已完成待更新</t>
        </is>
      </c>
      <c r="P90" s="17" t="inlineStr">
        <is>
          <t>已依 GitHub main 複驗：FileManagement 後端合法副檔名與 MIME 清單已包含 ODT，OpenDocument 格式上傳可通過格式檢查。涉及 API/檔案上傳/弱掃風險低。</t>
        </is>
      </c>
      <c r="Q90" s="17" t="inlineStr">
        <is>
          <t>2026-05-27</t>
        </is>
      </c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5" t="n">
        <v>94</v>
      </c>
      <c r="B91" s="15" t="inlineStr">
        <is>
          <t>測試站後台問題表(wcms)</t>
        </is>
      </c>
      <c r="C91" s="15" t="inlineStr">
        <is>
          <t>2</t>
        </is>
      </c>
      <c r="D91" s="15" t="inlineStr">
        <is>
          <t>公告</t>
        </is>
      </c>
      <c r="E91" s="15" t="inlineStr">
        <is>
          <t>Announcement</t>
        </is>
      </c>
      <c r="F91" s="15" t="inlineStr">
        <is>
          <t>提醒需填寫上、下架日期才能送出</t>
        </is>
      </c>
      <c r="G91" s="15" t="inlineStr">
        <is>
          <t>排序/狀態</t>
        </is>
      </c>
      <c r="H91" s="15" t="inlineStr">
        <is>
          <t>高</t>
        </is>
      </c>
      <c r="I91" s="15" t="inlineStr">
        <is>
          <t>L</t>
        </is>
      </c>
      <c r="J91" s="15" t="n">
        <v>6</v>
      </c>
      <c r="K91" s="15" t="inlineStr">
        <is>
          <t>退回，未通過</t>
        </is>
      </c>
      <c r="L91" s="15" t="inlineStr">
        <is>
          <t>複驗未通過</t>
        </is>
      </c>
      <c r="M91" s="15" t="n"/>
      <c r="N91" s="15" t="inlineStr">
        <is>
          <t>src/Features/Pages/Server/BizFunc/WEB/Announcement；src/Features/Pages/Client/...</t>
        </is>
      </c>
      <c r="O91" s="15" t="inlineStr">
        <is>
          <t>規劃前端處理邏輯:
前端(Kevin):接收訊息呈現 (6hr)
後端:
1. BeforeUpdate做資料檢查(0.5hr)
2. 異常訊息加入至s...</t>
        </is>
      </c>
      <c r="P91" s="17" t="inlineStr">
        <is>
          <t>已依 GitHub main 複驗：Announcement 後端 BeforeUpdate 有檢查上架日期、類別、預設語系標題，以及下架不可小於等於上架；但未檢查 Validate_End 必填，因此「需填寫上、下架日期才能送出」尚未完整通過。</t>
        </is>
      </c>
      <c r="Q91" s="17" t="inlineStr">
        <is>
          <t>2026-05-27</t>
        </is>
      </c>
      <c r="R91" s="17" t="inlineStr">
        <is>
          <t>不符合處：新增/編輯公告未強制 Validate_End 必填。影響範圍：Announcement 後台新增/編輯、前台有效日期顯示條件；可能出現無下架日資料。對應檔案：WCMS_Backend/Features/WEB/Announcement/Announcement_Biz.cs、WCMS_Frontend/src/Features/Pages/Server/BizFunc/WEB/Announcement。建議修正方向：BeforeUpdate 補 Validate_End == null 檢查，前端可同步加必填提示與 AA aria-describedby。涉及 AA/UI/API/資料驗證，不涉及 SSR，弱掃風險低。</t>
        </is>
      </c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8" t="n">
        <v>95</v>
      </c>
      <c r="B92" s="18" t="inlineStr">
        <is>
          <t>專案ZIP對標補漏</t>
        </is>
      </c>
      <c r="C92" s="18" t="inlineStr">
        <is>
          <t>ZIP-001</t>
        </is>
      </c>
      <c r="D92" s="18" t="inlineStr">
        <is>
          <t>前後台 API 權限切分</t>
        </is>
      </c>
      <c r="E92" s="18" t="inlineStr">
        <is>
          <t>ApiDataController</t>
        </is>
      </c>
      <c r="F92" s="18" t="inlineStr">
        <is>
          <t>SysCore/ApiDataController.cs 仍有 TODO：之後一定要拆分前台/後台 API，後台需多一層權限管控。</t>
        </is>
      </c>
      <c r="G92" s="18" t="inlineStr">
        <is>
          <t>帳號/權限</t>
        </is>
      </c>
      <c r="H92" s="18" t="inlineStr">
        <is>
          <t>高</t>
        </is>
      </c>
      <c r="I92" s="18" t="inlineStr">
        <is>
          <t>L</t>
        </is>
      </c>
      <c r="J92" s="18" t="n">
        <v>8</v>
      </c>
      <c r="K92" s="18" t="inlineStr">
        <is>
          <t>待修</t>
        </is>
      </c>
      <c r="L92" s="18" t="inlineStr">
        <is>
          <t>未驗收</t>
        </is>
      </c>
      <c r="M92" s="18" t="n"/>
      <c r="N92" s="18" t="inlineStr">
        <is>
          <t>SysCore/ApiDataController.cs</t>
        </is>
      </c>
      <c r="O92" s="18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5" t="n">
        <v>96</v>
      </c>
      <c r="B93" s="15" t="inlineStr">
        <is>
          <t>專案ZIP對標補漏</t>
        </is>
      </c>
      <c r="C93" s="15" t="inlineStr">
        <is>
          <t>ZIP-007</t>
        </is>
      </c>
      <c r="D93" s="15" t="inlineStr">
        <is>
          <t>舊資料匯入與測試資料流程</t>
        </is>
      </c>
      <c r="E93" s="15" t="inlineStr">
        <is>
          <t>舊資料/假資料</t>
        </is>
      </c>
      <c r="F93" s="15" t="inlineStr">
        <is>
          <t>舊資料決定 SQL 匯出後由系統功能更新；假資料與實體檔案規則仍需標準化，避免死檔與前台資料缺口。</t>
        </is>
      </c>
      <c r="G93" s="15" t="inlineStr">
        <is>
          <t>資料移轉</t>
        </is>
      </c>
      <c r="H93" s="15" t="inlineStr">
        <is>
          <t>高</t>
        </is>
      </c>
      <c r="I93" s="15" t="inlineStr">
        <is>
          <t>L</t>
        </is>
      </c>
      <c r="J93" s="15" t="n">
        <v>8</v>
      </c>
      <c r="K93" s="15" t="inlineStr">
        <is>
          <t>部分複驗，待實機確認</t>
        </is>
      </c>
      <c r="L93" s="15" t="inlineStr">
        <is>
          <t>部分複驗，待實機確認</t>
        </is>
      </c>
      <c r="M93" s="15" t="n"/>
      <c r="N93" s="15" t="inlineStr">
        <is>
          <t>Features/WEB/*；Features/MAT/*；測試資料SQL需求</t>
        </is>
      </c>
      <c r="O93" s="15" t="n"/>
      <c r="P93" s="26" t="inlineStr">
        <is>
          <t>第十九批依本次完整 ZIP 重新複驗：後端 ZIP 可見 SysCore/Library/MigrateOldData.cs、Import_Storage 與 SQL 輔助檔，系統也有前後台檔案上傳與資料更新流程。惟此筆目標是舊資料 SQL 匯出後再透過系統功能更新，並要求假資料與實體檔案成對避免死檔；需實際匯入批次、DB 資料、FileManage 目錄與前後台畫面驗證。涉及 API、DB、File Upload、UI、資料完整性；維持部分複驗。</t>
        </is>
      </c>
      <c r="Q93" s="26" t="inlineStr">
        <is>
          <t>2026-05-27</t>
        </is>
      </c>
      <c r="R93" s="26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8" t="n">
        <v>106</v>
      </c>
      <c r="B94" s="18" t="inlineStr">
        <is>
          <t>測試站後台問題表(wcms)</t>
        </is>
      </c>
      <c r="C94" s="18" t="inlineStr">
        <is>
          <t>66</t>
        </is>
      </c>
      <c r="D94" s="18" t="inlineStr">
        <is>
          <t>網站架構</t>
        </is>
      </c>
      <c r="E94" s="18" t="inlineStr">
        <is>
          <t>Announcement</t>
        </is>
      </c>
      <c r="F94" s="18" t="inlineStr">
        <is>
          <t>公告、檔案室設定/清單樣式欄位與標籤設定文字重疊，請往下位移。</t>
        </is>
      </c>
      <c r="G94" s="18" t="inlineStr">
        <is>
          <t>檔案/媒體</t>
        </is>
      </c>
      <c r="H94" s="18" t="inlineStr">
        <is>
          <t>高</t>
        </is>
      </c>
      <c r="I94" s="18" t="inlineStr">
        <is>
          <t>L</t>
        </is>
      </c>
      <c r="J94" s="18" t="n">
        <v>8</v>
      </c>
      <c r="K94" s="18" t="inlineStr">
        <is>
          <t>退回，未通過</t>
        </is>
      </c>
      <c r="L94" s="18" t="inlineStr">
        <is>
          <t>複驗未通過</t>
        </is>
      </c>
      <c r="M94" s="18" t="n"/>
      <c r="N94" s="18" t="inlineStr">
        <is>
          <t>src/Features/Pages/Server/BizFunc/WEB/Announcement；src/Features/Pages/Client/...</t>
        </is>
      </c>
      <c r="O94" s="18" t="inlineStr">
        <is>
          <t>請Cara協助看排版問題</t>
        </is>
      </c>
      <c r="P94" s="26" t="inlineStr">
        <is>
          <t>已依本次 ZIP 複驗：SiteMenu 模型配置中公告/檔案室/網路資源的類別、標籤與清單樣式仍直接連續渲染 LibCheckBox + LibDropList，未看到針對文字重疊新增的間距、分區或版面修正。</t>
        </is>
      </c>
      <c r="Q94" s="26" t="inlineStr">
        <is>
          <t>2026-05-27</t>
        </is>
      </c>
      <c r="R94" s="26" t="inlineStr">
        <is>
          <t>不符合處：公告、檔案室設定中的類別/標籤/清單樣式欄位尚未看到明確往下位移或防重疊處理。影響範圍：SiteMenu 後台右側模型配置，Announcement/FileArchive/WebResource/Gallery 等清單樣式設定。對應檔案：src/Features/Pages/Server/BizFunc/WEB/SiteMenu/SubComponents/RightBox_Comp.tsx/Module_Comp.tsx。建議修正方向：在每個設定群組加固定 margin/padding 或改用分組卡片；若 LibCheckBox 本身高度造成重疊，需從共用欄位樣式修正並回歸多選項資料。涉及：UI/AA/CSR。</t>
        </is>
      </c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5" t="n">
        <v>107</v>
      </c>
      <c r="B95" s="15" t="inlineStr">
        <is>
          <t>測試站後台問題表(wcms)</t>
        </is>
      </c>
      <c r="C95" s="15" t="inlineStr">
        <is>
          <t>70</t>
        </is>
      </c>
      <c r="D95" s="15" t="inlineStr">
        <is>
          <t>網站架構</t>
        </is>
      </c>
      <c r="E95" s="15" t="inlineStr">
        <is>
          <t>SiteMenu / Header</t>
        </is>
      </c>
      <c r="F95" s="15" t="inlineStr">
        <is>
          <t>字太長會重疊</t>
        </is>
      </c>
      <c r="G95" s="15" t="inlineStr">
        <is>
          <t>UI/樣式</t>
        </is>
      </c>
      <c r="H95" s="15" t="inlineStr">
        <is>
          <t>高</t>
        </is>
      </c>
      <c r="I95" s="15" t="inlineStr">
        <is>
          <t>L</t>
        </is>
      </c>
      <c r="J95" s="15" t="n">
        <v>8</v>
      </c>
      <c r="K95" s="15" t="inlineStr">
        <is>
          <t>待規劃</t>
        </is>
      </c>
      <c r="L95" s="15" t="inlineStr">
        <is>
          <t>未驗收</t>
        </is>
      </c>
      <c r="M95" s="15" t="n"/>
      <c r="N95" s="15" t="inlineStr">
        <is>
          <t>src/Features/Pages/Server/BizFunc/WEB/SiteMenu；src/SpecFetures/*/Pages/Client...</t>
        </is>
      </c>
      <c r="O95" s="15" t="inlineStr">
        <is>
          <t>請Cara協助看有無辦法調整過長資料換行問題?</t>
        </is>
      </c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8" t="n">
        <v>108</v>
      </c>
      <c r="B96" s="18" t="inlineStr">
        <is>
          <t>測試站後台問題表(wcms)</t>
        </is>
      </c>
      <c r="C96" s="18" t="inlineStr">
        <is>
          <t>65</t>
        </is>
      </c>
      <c r="D96" s="18" t="inlineStr">
        <is>
          <t>網站架構</t>
        </is>
      </c>
      <c r="E96" s="18" t="inlineStr">
        <is>
          <t>PageManagement / TinyMCE</t>
        </is>
      </c>
      <c r="F96" s="18" t="inlineStr">
        <is>
          <t>架構多時頁面拉很長，若點擊任一【編輯】後沒有自行回到最上方編輯/查看資料，畫面就會原地不動。
是否可以擇一修改：
1/ 加上TOP鍵
2/ 自動回到最上方...</t>
        </is>
      </c>
      <c r="G96" s="18" t="inlineStr">
        <is>
          <t>功能/資料</t>
        </is>
      </c>
      <c r="H96" s="18" t="inlineStr">
        <is>
          <t>高</t>
        </is>
      </c>
      <c r="I96" s="18" t="inlineStr">
        <is>
          <t>L</t>
        </is>
      </c>
      <c r="J96" s="18" t="n">
        <v>8</v>
      </c>
      <c r="K96" s="18" t="inlineStr">
        <is>
          <t>退回，未通過</t>
        </is>
      </c>
      <c r="L96" s="18" t="inlineStr">
        <is>
          <t>複驗未通過</t>
        </is>
      </c>
      <c r="M96" s="18" t="n"/>
      <c r="N96" s="18" t="inlineStr">
        <is>
          <t>src/Features/Pages/Server/BizFunc/WEB/PageManagement；src/SysCore/Components/T...</t>
        </is>
      </c>
      <c r="O96" s="18" t="inlineStr">
        <is>
          <t>請Cara協助 Hang住右邊編輯視窗</t>
        </is>
      </c>
      <c r="P96" s="17" t="inlineStr">
        <is>
          <t>第十七批依本次 ZIP 複驗：SiteMenu 左側點選項目只 setSelectedItemEdit，右側容器僅有 overflow-scroll-customize；未看到 scrollIntoView、scrollTo top、focus top 或專用 TOP 鍵邏輯，因此長頁面點編輯後不會自動回到右側上方。</t>
        </is>
      </c>
      <c r="Q96" s="17" t="inlineStr">
        <is>
          <t>2026-05-27</t>
        </is>
      </c>
      <c r="R96" s="17" t="inlineStr">
        <is>
          <t>不符合處：網站架構資料量多時，點擊任一選單編輯未實作自動捲到右側編輯區上方，也未提供此區塊 TOP 鍵。影響範圍：SiteMenu / Header 後台維護，長層級選單下使用者可能以為沒有切換資料或需手動捲動。對應檔案：src/Features/Pages/Server/BizFunc/WEB/SiteMenu/SubComponents/RenderLeftBox_Comp.tsx、RenderRightBox_Comp.tsx、SiteMenu_Hook.ts。建議修正方向：在 selectedItemEdit 變更時以 ref 對右側編輯區執行 scrollIntoView({ block: 'start' })，或在右側表單加可鍵盤操作的 TOP 按鈕並設 aria-label。涉及 AA / UI / CSR。</t>
        </is>
      </c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5" t="n">
        <v>109</v>
      </c>
      <c r="B97" s="15" t="inlineStr">
        <is>
          <t>測試站後台問題表(wcms)</t>
        </is>
      </c>
      <c r="C97" s="15" t="inlineStr">
        <is>
          <t>71</t>
        </is>
      </c>
      <c r="D97" s="15" t="inlineStr">
        <is>
          <t>網站架構/模型配置</t>
        </is>
      </c>
      <c r="E97" s="15" t="inlineStr">
        <is>
          <t>SiteMenu / Header</t>
        </is>
      </c>
      <c r="F97" s="15" t="inlineStr">
        <is>
          <t>選擇類別，但不會變更選擇</t>
        </is>
      </c>
      <c r="G97" s="15" t="inlineStr">
        <is>
          <t>功能/資料</t>
        </is>
      </c>
      <c r="H97" s="15" t="inlineStr">
        <is>
          <t>高</t>
        </is>
      </c>
      <c r="I97" s="15" t="inlineStr">
        <is>
          <t>L</t>
        </is>
      </c>
      <c r="J97" s="15" t="n">
        <v>8</v>
      </c>
      <c r="K97" s="15" t="inlineStr">
        <is>
          <t>已完成</t>
        </is>
      </c>
      <c r="L97" s="15" t="inlineStr">
        <is>
          <t>複驗通過</t>
        </is>
      </c>
      <c r="M97" s="15" t="inlineStr">
        <is>
          <t>2026-05-27</t>
        </is>
      </c>
      <c r="N97" s="15" t="inlineStr">
        <is>
          <t>src/Features/Pages/Server/BizFunc/WEB/SiteMenu；src/SpecFetures/*/Pages/Client...</t>
        </is>
      </c>
      <c r="O97" s="15" t="inlineStr">
        <is>
          <t>已完成</t>
        </is>
      </c>
      <c r="P97" s="17" t="inlineStr">
        <is>
          <t>第十七批依本次 ZIP 複驗：SiteMenu Module_Comp 的模型/類別選擇會同時呼叫 field onChange 與 setModelKey，並依 PGID 載入 Announcement / Gallery / FileArchive / WebResource 對應 Category、Tag、Style 設定；選擇類別後 UI 狀態會更新。</t>
        </is>
      </c>
      <c r="Q97" s="17" t="inlineStr">
        <is>
          <t>2026-05-27</t>
        </is>
      </c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8" t="n">
        <v>110</v>
      </c>
      <c r="B98" s="18" t="inlineStr">
        <is>
          <t>測試站後台問題表(wcms)</t>
        </is>
      </c>
      <c r="C98" s="18" t="inlineStr">
        <is>
          <t>74</t>
        </is>
      </c>
      <c r="D98" s="18" t="inlineStr">
        <is>
          <t>網站架構</t>
        </is>
      </c>
      <c r="E98" s="18" t="inlineStr">
        <is>
          <t>SiteMenu / Header</t>
        </is>
      </c>
      <c r="F98" s="18" t="inlineStr">
        <is>
          <t>新增後，按取消鈕沒有反應</t>
        </is>
      </c>
      <c r="G98" s="18" t="inlineStr">
        <is>
          <t>功能/資料</t>
        </is>
      </c>
      <c r="H98" s="18" t="inlineStr">
        <is>
          <t>高</t>
        </is>
      </c>
      <c r="I98" s="18" t="inlineStr">
        <is>
          <t>L</t>
        </is>
      </c>
      <c r="J98" s="18" t="n">
        <v>8</v>
      </c>
      <c r="K98" s="18" t="inlineStr">
        <is>
          <t>已完成</t>
        </is>
      </c>
      <c r="L98" s="18" t="inlineStr">
        <is>
          <t>複驗通過</t>
        </is>
      </c>
      <c r="M98" s="18" t="inlineStr">
        <is>
          <t>2026-05-27</t>
        </is>
      </c>
      <c r="N98" s="18" t="inlineStr">
        <is>
          <t>src/Features/Pages/Server/BizFunc/WEB/SiteMenu；src/SpecFetures/*/Pages/Client...</t>
        </is>
      </c>
      <c r="O98" s="18" t="inlineStr">
        <is>
          <t>已完成</t>
        </is>
      </c>
      <c r="P98" s="17" t="inlineStr">
        <is>
          <t>第十七批依本次 ZIP 複驗：SiteMenu 右側取消按鈕已綁定 prop.action.onCancelBack；SiteMenu_Hook 中 onCancelBack 會 refetchData 重新抓回資料，已不是無反應狀態。</t>
        </is>
      </c>
      <c r="Q98" s="17" t="inlineStr">
        <is>
          <t>2026-05-27</t>
        </is>
      </c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5" t="n">
        <v>111</v>
      </c>
      <c r="B99" s="15" t="inlineStr">
        <is>
          <t>測試站後台問題表(wcms)</t>
        </is>
      </c>
      <c r="C99" s="15" t="inlineStr">
        <is>
          <t>5</t>
        </is>
      </c>
      <c r="D99" s="15" t="inlineStr">
        <is>
          <t>公告類別、標籤功能</t>
        </is>
      </c>
      <c r="E99" s="15" t="inlineStr">
        <is>
          <t>Announcement</t>
        </is>
      </c>
      <c r="F99" s="15" t="inlineStr">
        <is>
          <t>關閉和刪除功能還沒上去</t>
        </is>
      </c>
      <c r="G99" s="15" t="inlineStr">
        <is>
          <t>功能/資料</t>
        </is>
      </c>
      <c r="H99" s="15" t="inlineStr">
        <is>
          <t>中</t>
        </is>
      </c>
      <c r="I99" s="15" t="inlineStr">
        <is>
          <t>S</t>
        </is>
      </c>
      <c r="J99" s="15" t="n">
        <v>0.5</v>
      </c>
      <c r="K99" s="15" t="inlineStr">
        <is>
          <t>退回，未通過</t>
        </is>
      </c>
      <c r="L99" s="15" t="inlineStr">
        <is>
          <t>複驗未通過</t>
        </is>
      </c>
      <c r="M99" s="15" t="inlineStr">
        <is>
          <t>2026-05-27</t>
        </is>
      </c>
      <c r="N99" s="15" t="inlineStr">
        <is>
          <t>src/Features/Pages/Server/BizFunc/WEB/Announcement；src/Features/Pages/Client/...</t>
        </is>
      </c>
      <c r="O99" s="15" t="inlineStr">
        <is>
          <t>後端:
BeforeUpdate(Delete)時做資料檢查 (0.5hr)</t>
        </is>
      </c>
      <c r="P99" s="17" t="inlineStr">
        <is>
          <t>已依 GitHub main 複驗：共用 Category/Tag 清單已有 GridCol_Toolbar 與 deleteAsync，可處理刪除；但 Category_DTO/Tag_DTO 未見狀態或關閉欄位，列表 UI 也未見關閉/停用動作，原需求「關閉和刪除功能」只完成刪除面。</t>
        </is>
      </c>
      <c r="Q99" s="17" t="inlineStr">
        <is>
          <t>2026-05-27</t>
        </is>
      </c>
      <c r="R99" s="17" t="inlineStr">
        <is>
          <t>不符合處：公告類別/標籤僅可刪除，未完成關閉/停用功能。影響範圍：公告類別、公告標籤管理；若需保留歷史資料關聯，直接刪除可能影響既有內容分類/標籤。對應檔案：WCMS_Frontend/src/Features/Pages/Server/BizFunc/COMM/Category/Server_Category_ListForm_Comp.tsx、Server_Category_ListForm_Hook.ts、WCMS_Frontend/src/Features/Pages/Server/BizFunc/COMM/Tags/Server_Tag_ListForm_Comp.tsx、Server_Tag_ListForm_Hook.ts、WCMS_Backend/Features/COMM/Category/Category_DTO.cs、WCMS_Backend/Features/COMM/Tag/Tag_DTO.cs。建議修正方向：補 IsEnabled/ContentStatus 類狀態欄位、API 更新方法、列表關閉按鈕與前台/後台查詢排除規則；刪除保留確認提示。涉及 UI/TypeScript/API/CSR；AA 需注意按鈕 aria-label；SSR/弱掃風險低。</t>
        </is>
      </c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8" t="n">
        <v>112</v>
      </c>
      <c r="B100" s="18" t="inlineStr">
        <is>
          <t>測試站後台問題表(wcms)</t>
        </is>
      </c>
      <c r="C100" s="18" t="inlineStr">
        <is>
          <t>82</t>
        </is>
      </c>
      <c r="D100" s="18" t="inlineStr">
        <is>
          <t>廣告輪播</t>
        </is>
      </c>
      <c r="E100" s="18" t="inlineStr">
        <is>
          <t>Banner</t>
        </is>
      </c>
      <c r="F100" s="18" t="inlineStr">
        <is>
          <t>1.內容編輯裡最佳尺寸拿掉
2. 快捷鍵裡的縮圖沒顯示</t>
        </is>
      </c>
      <c r="G100" s="18" t="inlineStr">
        <is>
          <t>功能/資料</t>
        </is>
      </c>
      <c r="H100" s="18" t="inlineStr">
        <is>
          <t>中</t>
        </is>
      </c>
      <c r="I100" s="18" t="inlineStr">
        <is>
          <t>S</t>
        </is>
      </c>
      <c r="J100" s="18" t="n">
        <v>1</v>
      </c>
      <c r="K100" s="18" t="inlineStr">
        <is>
          <t>待規劃</t>
        </is>
      </c>
      <c r="L100" s="18" t="inlineStr">
        <is>
          <t>未驗收</t>
        </is>
      </c>
      <c r="M100" s="18" t="n"/>
      <c r="N100" s="18" t="inlineStr">
        <is>
          <t>src/Features/Pages/Server/BizFunc/WEB/Banner；src/Features/WEB/Banner</t>
        </is>
      </c>
      <c r="O100" s="18" t="inlineStr">
        <is>
          <t>快捷鍵的圖片為svg，被吃成xml格式
看是否可以改成png (需與Cara確認)</t>
        </is>
      </c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5" t="n">
        <v>113</v>
      </c>
      <c r="B101" s="15" t="inlineStr">
        <is>
          <t>測試站後台問題表(wcms)</t>
        </is>
      </c>
      <c r="C101" s="15" t="inlineStr">
        <is>
          <t>10</t>
        </is>
      </c>
      <c r="D101" s="15" t="inlineStr">
        <is>
          <t>公告列表頁數顯示</t>
        </is>
      </c>
      <c r="E101" s="15" t="inlineStr">
        <is>
          <t>Announcement</t>
        </is>
      </c>
      <c r="F101" s="15" t="inlineStr">
        <is>
          <t>顯示現在在哪一頁</t>
        </is>
      </c>
      <c r="G101" s="15" t="inlineStr">
        <is>
          <t>功能/資料</t>
        </is>
      </c>
      <c r="H101" s="15" t="inlineStr">
        <is>
          <t>中</t>
        </is>
      </c>
      <c r="I101" s="15" t="inlineStr">
        <is>
          <t>S</t>
        </is>
      </c>
      <c r="J101" s="15" t="n">
        <v>1</v>
      </c>
      <c r="K101" s="15" t="inlineStr">
        <is>
          <t>已完成</t>
        </is>
      </c>
      <c r="L101" s="15" t="inlineStr">
        <is>
          <t>複驗通過</t>
        </is>
      </c>
      <c r="M101" s="15" t="inlineStr">
        <is>
          <t>2026-05-27</t>
        </is>
      </c>
      <c r="N101" s="15" t="inlineStr">
        <is>
          <t>src/Features/Pages/Server/BizFunc/WEB/Announcement；src/Features/Pages/Client/...</t>
        </is>
      </c>
      <c r="O101" s="15" t="inlineStr">
        <is>
          <t>1hr</t>
        </is>
      </c>
      <c r="P101" s="17" t="inlineStr">
        <is>
          <t>第十六批 ZIP 複驗通過：Announcement List 已接 Server_ListGridTemplate；Grid 使用 NewPaginatorCanInputPage，currentPage/totalPages/onPageChange 已由 hook 傳入，可顯示目前頁並換頁。</t>
        </is>
      </c>
      <c r="Q101" s="17" t="inlineStr">
        <is>
          <t>2026-05-27</t>
        </is>
      </c>
      <c r="R101" s="17" t="str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8" t="n">
        <v>115</v>
      </c>
      <c r="B102" s="18" t="inlineStr">
        <is>
          <t>測試站後台問題表(wcms)</t>
        </is>
      </c>
      <c r="C102" s="18" t="inlineStr">
        <is>
          <t>137</t>
        </is>
      </c>
      <c r="D102" s="18" t="inlineStr">
        <is>
          <t>新增/圖片顯示</t>
        </is>
      </c>
      <c r="E102" s="18" t="inlineStr">
        <is>
          <t>Announcement</t>
        </is>
      </c>
      <c r="F102" s="18" t="inlineStr">
        <is>
          <t>研發處的公告預設的建議大小圖片，請改成940x1330</t>
        </is>
      </c>
      <c r="G102" s="18" t="inlineStr">
        <is>
          <t>功能/資料</t>
        </is>
      </c>
      <c r="H102" s="18" t="inlineStr">
        <is>
          <t>中</t>
        </is>
      </c>
      <c r="I102" s="18" t="inlineStr">
        <is>
          <t>M</t>
        </is>
      </c>
      <c r="J102" s="18" t="n">
        <v>1.5</v>
      </c>
      <c r="K102" s="18" t="inlineStr">
        <is>
          <t>待修</t>
        </is>
      </c>
      <c r="L102" s="18" t="inlineStr">
        <is>
          <t>未驗收</t>
        </is>
      </c>
      <c r="M102" s="18" t="n"/>
      <c r="N102" s="18" t="inlineStr">
        <is>
          <t>src/Features/Pages/Server/BizFunc/WEB/Announcement；src/Features/Pages/Client/...</t>
        </is>
      </c>
      <c r="O102" s="18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5" t="n">
        <v>118</v>
      </c>
      <c r="B103" s="15" t="inlineStr">
        <is>
          <t>專案ZIP對標補漏</t>
        </is>
      </c>
      <c r="C103" s="15" t="inlineStr">
        <is>
          <t>ZIP-003</t>
        </is>
      </c>
      <c r="D103" s="15" t="inlineStr">
        <is>
          <t>操作日誌耗時欄位補齊</t>
        </is>
      </c>
      <c r="E103" s="15" t="inlineStr">
        <is>
          <t>OperateLogMiddleware</t>
        </is>
      </c>
      <c r="F103" s="15" t="inlineStr">
        <is>
          <t>OperateLogMiddleware 仍有 elapsed TODO；若後台帳號管理與稽核要完整，建議補齊成功/失敗/取消耗時。</t>
        </is>
      </c>
      <c r="G103" s="15" t="inlineStr">
        <is>
          <t>帳號/權限</t>
        </is>
      </c>
      <c r="H103" s="15" t="inlineStr">
        <is>
          <t>中</t>
        </is>
      </c>
      <c r="I103" s="15" t="inlineStr">
        <is>
          <t>M</t>
        </is>
      </c>
      <c r="J103" s="15" t="n">
        <v>2</v>
      </c>
      <c r="K103" s="15" t="inlineStr">
        <is>
          <t>待修</t>
        </is>
      </c>
      <c r="L103" s="15" t="inlineStr">
        <is>
          <t>未驗收</t>
        </is>
      </c>
      <c r="M103" s="15" t="n"/>
      <c r="N103" s="15" t="inlineStr">
        <is>
          <t>SysCore/Middleware/OperateLogMiddleware.cs</t>
        </is>
      </c>
      <c r="O103" s="15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8" t="n">
        <v>122</v>
      </c>
      <c r="B104" s="18" t="inlineStr">
        <is>
          <t>測試站後台問題表(wcms)</t>
        </is>
      </c>
      <c r="C104" s="18" t="inlineStr">
        <is>
          <t>127</t>
        </is>
      </c>
      <c r="D104" s="18" t="inlineStr">
        <is>
          <t>狀態功能拿掉</t>
        </is>
      </c>
      <c r="E104" s="18" t="inlineStr">
        <is>
          <t>SpecResearch / SpecUSR</t>
        </is>
      </c>
      <c r="F104" s="18" t="inlineStr">
        <is>
          <t>請把兩個功能內的狀態拿掉</t>
        </is>
      </c>
      <c r="G104" s="18" t="inlineStr">
        <is>
          <t>功能/資料</t>
        </is>
      </c>
      <c r="H104" s="18" t="inlineStr">
        <is>
          <t>中</t>
        </is>
      </c>
      <c r="I104" s="18" t="inlineStr">
        <is>
          <t>M</t>
        </is>
      </c>
      <c r="J104" s="18" t="n">
        <v>2</v>
      </c>
      <c r="K104" s="18" t="inlineStr">
        <is>
          <t>退回，未通過</t>
        </is>
      </c>
      <c r="L104" s="18" t="inlineStr">
        <is>
          <t>複驗未通過</t>
        </is>
      </c>
      <c r="M104" s="18" t="str"/>
      <c r="N104" s="18" t="inlineStr">
        <is>
          <t>src/SpecFetures/1810/Pages/Server/BizFunc/WEB/SpecResearch；SpecUSR</t>
        </is>
      </c>
      <c r="O104" s="18" t="n"/>
      <c r="P104" s="17" t="inlineStr">
        <is>
          <t>第十六批 ZIP 複驗未通過：SpecResearch/SpecUSR 尚未完全移除狀態功能。</t>
        </is>
      </c>
      <c r="Q104" s="17" t="inlineStr">
        <is>
          <t>2026-05-27</t>
        </is>
      </c>
      <c r="R104" s="17" t="inlineStr">
        <is>
          <t>不符合處：SpecResearch 後台表單仍有 Status tab/ContentStatus 欄位；SpecUSR 前後台資料流程仍可見 ContentStatus 使用。影響範圍：1810 專區後台表單、前台列表資料判斷與客製需求一致性。對應檔案：src/SpecFetures/1810/Pages/Server/BizFunc/WEB/SpecResearch/Server_SpecResearch_Form_Comp.tsx、src/SpecFetures/1810/Pages/Client/BizFunc/WEB/SpecUSR/SpecUSR_List.tsx。建議修正方向：確認需求為完全移除或僅隱藏；若完全移除，需同步調整 Form tab、DTO/Query 欄位、前台過濾邏輯與資料遷移。涉及：UI、TypeScript、API、CSR。</t>
        </is>
      </c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5" t="n">
        <v>126</v>
      </c>
      <c r="B105" s="15" t="inlineStr">
        <is>
          <t>測試站後台問題表(wcms)</t>
        </is>
      </c>
      <c r="C105" s="15" t="inlineStr">
        <is>
          <t>103</t>
        </is>
      </c>
      <c r="D105" s="15" t="inlineStr">
        <is>
          <t>USR計畫優化</t>
        </is>
      </c>
      <c r="E105" s="15" t="inlineStr">
        <is>
          <t>SpecResearch / SpecUSR</t>
        </is>
      </c>
      <c r="F105" s="15" t="inlineStr">
        <is>
          <t>有key資料的欄位，在前台內頁顯示出來</t>
        </is>
      </c>
      <c r="G105" s="15" t="inlineStr">
        <is>
          <t>功能/資料</t>
        </is>
      </c>
      <c r="H105" s="15" t="inlineStr">
        <is>
          <t>中</t>
        </is>
      </c>
      <c r="I105" s="15" t="inlineStr">
        <is>
          <t>M</t>
        </is>
      </c>
      <c r="J105" s="15" t="n">
        <v>2</v>
      </c>
      <c r="K105" s="15" t="inlineStr">
        <is>
          <t>已完成</t>
        </is>
      </c>
      <c r="L105" s="15" t="inlineStr">
        <is>
          <t>複驗通過</t>
        </is>
      </c>
      <c r="M105" s="15" t="inlineStr">
        <is>
          <t>2026-05-27</t>
        </is>
      </c>
      <c r="N105" s="15" t="inlineStr">
        <is>
          <t>src/SpecFetures/1810/Pages/Server/BizFunc/WEB/SpecResearch；SpecUSR</t>
        </is>
      </c>
      <c r="O105" s="15" t="inlineStr">
        <is>
          <t>處理中</t>
        </is>
      </c>
      <c r="P105" s="26" t="inlineStr">
        <is>
          <t>已依本次 ZIP 複驗：SpecUSR 前台內頁已依 showColumns 與 showColTitle 動態渲染有值欄位，shouldRenderField 會檢查欄位有值且在顯示清單內才輸出，符合有 key 資料欄位在前台內頁顯示的需求。對應檔案：SpecUSR_Form_Comp.tsx、SpecUSR_Form_Loader.ts。</t>
        </is>
      </c>
      <c r="Q105" s="26" t="inlineStr">
        <is>
          <t>2026-05-27</t>
        </is>
      </c>
      <c r="R105" s="26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8" t="n">
        <v>127</v>
      </c>
      <c r="B106" s="18" t="inlineStr">
        <is>
          <t>測試站後台問題表(wcms)</t>
        </is>
      </c>
      <c r="C106" s="18" t="inlineStr">
        <is>
          <t>9</t>
        </is>
      </c>
      <c r="D106" s="18" t="inlineStr">
        <is>
          <t>公告/標籤</t>
        </is>
      </c>
      <c r="E106" s="18" t="inlineStr">
        <is>
          <t>Announcement</t>
        </is>
      </c>
      <c r="F106" s="18" t="inlineStr">
        <is>
          <t>後台路徑顯示</t>
        </is>
      </c>
      <c r="G106" s="18" t="inlineStr">
        <is>
          <t>功能/資料</t>
        </is>
      </c>
      <c r="H106" s="18" t="inlineStr">
        <is>
          <t>中</t>
        </is>
      </c>
      <c r="I106" s="18" t="inlineStr">
        <is>
          <t>M</t>
        </is>
      </c>
      <c r="J106" s="18" t="n">
        <v>2</v>
      </c>
      <c r="K106" s="18" t="inlineStr">
        <is>
          <t>退回，未通過</t>
        </is>
      </c>
      <c r="L106" s="18" t="inlineStr">
        <is>
          <t>複驗未通過</t>
        </is>
      </c>
      <c r="M106" s="18" t="n"/>
      <c r="N106" s="18" t="inlineStr">
        <is>
          <t>src/Features/Pages/Server/BizFunc/WEB/Announcement；src/Features/Pages/Client/...</t>
        </is>
      </c>
      <c r="O106" s="18" t="inlineStr">
        <is>
          <t>功能模組與Route/BreadCrumb動態渲染規則處理</t>
        </is>
      </c>
      <c r="P106" s="26" t="inlineStr">
        <is>
          <t>已依本次 ZIP 複驗：公告標籤後台目前共用 Server_Tag_ListForm_Comp，頁面 Title 只接 prop.title「標籤」，列表連結可導到 /Tag/{id}，但未看到上方顯示完整後台路徑或麵包屑。</t>
        </is>
      </c>
      <c r="Q106" s="26" t="inlineStr">
        <is>
          <t>2026-05-27</t>
        </is>
      </c>
      <c r="R106" s="26" t="inlineStr">
        <is>
          <t>不符合處：公告/標籤後台尚未明確顯示完整路徑，只看到標題與列表導頁。影響範圍：Announcement Tag 後台維護頁，亦可能影響 Category/Tag 共用頁的操作辨識。對應檔案：src/Features/Pages/Server/BizFunc/COMM/Tags/Server_Tag_ListForm_Comp.tsx、ServerModuleRoutesData.tsx。建議修正方向：在 FormListComp 或 Category/Tag 專用頁上方加入模組路徑/麵包屑，例如「公告 / 標籤」，並確認 AA 標題層級。涉及：AA/UI/CSR。</t>
        </is>
      </c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5" t="n">
        <v>128</v>
      </c>
      <c r="B107" s="15" t="inlineStr">
        <is>
          <t>測試站後台問題表(wcms)</t>
        </is>
      </c>
      <c r="C107" s="15" t="inlineStr">
        <is>
          <t>36</t>
        </is>
      </c>
      <c r="D107" s="15" t="inlineStr">
        <is>
          <t>相簿</t>
        </is>
      </c>
      <c r="E107" s="15" t="inlineStr">
        <is>
          <t>Gallery</t>
        </is>
      </c>
      <c r="F107" s="15" t="inlineStr">
        <is>
          <t>可以批次刪除嗎?</t>
        </is>
      </c>
      <c r="G107" s="15" t="inlineStr">
        <is>
          <t>功能/資料</t>
        </is>
      </c>
      <c r="H107" s="15" t="inlineStr">
        <is>
          <t>中</t>
        </is>
      </c>
      <c r="I107" s="15" t="inlineStr">
        <is>
          <t>M</t>
        </is>
      </c>
      <c r="J107" s="15" t="n">
        <v>2</v>
      </c>
      <c r="K107" s="15" t="inlineStr">
        <is>
          <t>退回，未通過</t>
        </is>
      </c>
      <c r="L107" s="15" t="inlineStr">
        <is>
          <t>複驗未通過</t>
        </is>
      </c>
      <c r="M107" s="15" t="str"/>
      <c r="N107" s="15" t="inlineStr">
        <is>
          <t>src/Features/Pages/Server/BizFunc/WEB/Gallery；src/Features/Pages/Client/BizFu...</t>
        </is>
      </c>
      <c r="O107" s="15" t="inlineStr">
        <is>
          <t>待規劃</t>
        </is>
      </c>
      <c r="P107" s="17" t="inlineStr">
        <is>
          <t>第十六批 ZIP 複驗未通過：Gallery List 未看到批次勾選與批次刪除流程。</t>
        </is>
      </c>
      <c r="Q107" s="17" t="inlineStr">
        <is>
          <t>2026-05-27</t>
        </is>
      </c>
      <c r="R107" s="17" t="inlineStr">
        <is>
          <t>不符合處：共用 Grid/Gallery List 目前以單筆 row action 為主，未見 selected rows、全選、批次刪除或刪除 API 串接。影響範圍：後台相簿大量管理效率與需求驗收。對應檔案：src/Features/Pages/Server/BizFunc/WEB/Gallery/Server_Gallery_List_Hook.ts、src/SysCore/Components/Grid/Grid_Comp.tsx。建議修正方向：補 Grid 選取狀態、批次刪除按鈕、確認提示與後端批次刪除 API/Service。涉及：UI、TypeScript、API、AA。</t>
        </is>
      </c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8" t="n">
        <v>129</v>
      </c>
      <c r="B108" s="18" t="inlineStr">
        <is>
          <t>測試站後台問題表(wcms)</t>
        </is>
      </c>
      <c r="C108" s="18" t="inlineStr">
        <is>
          <t>52</t>
        </is>
      </c>
      <c r="D108" s="18" t="inlineStr">
        <is>
          <t>研究計畫、
USR計畫</t>
        </is>
      </c>
      <c r="E108" s="18" t="inlineStr">
        <is>
          <t>SpecResearch / SpecUSR</t>
        </is>
      </c>
      <c r="F108" s="18" t="inlineStr">
        <is>
          <t>列表欄位請依照1810的項目和順序顯示（缺少標籤、排序編號...等等）</t>
        </is>
      </c>
      <c r="G108" s="18" t="inlineStr">
        <is>
          <t>排序/狀態</t>
        </is>
      </c>
      <c r="H108" s="18" t="inlineStr">
        <is>
          <t>中</t>
        </is>
      </c>
      <c r="I108" s="18" t="inlineStr">
        <is>
          <t>M</t>
        </is>
      </c>
      <c r="J108" s="18" t="n">
        <v>2</v>
      </c>
      <c r="K108" s="18" t="inlineStr">
        <is>
          <t>退回，未通過</t>
        </is>
      </c>
      <c r="L108" s="18" t="inlineStr">
        <is>
          <t>複驗未通過</t>
        </is>
      </c>
      <c r="M108" s="18" t="str"/>
      <c r="N108" s="18" t="inlineStr">
        <is>
          <t>src/SpecFetures/1810/Pages/Server/BizFunc/WEB/SpecResearch；SpecUSR</t>
        </is>
      </c>
      <c r="O108" s="18" t="inlineStr">
        <is>
          <t>待規劃</t>
        </is>
      </c>
      <c r="P108" s="17" t="inlineStr">
        <is>
          <t>第十六批 ZIP 複驗未通過：SpecResearch/SpecUSR 列表欄位仍未完整符合「標籤、排序編號等」需求。</t>
        </is>
      </c>
      <c r="Q108" s="17" t="inlineStr">
        <is>
          <t>2026-05-27</t>
        </is>
      </c>
      <c r="R108" s="17" t="inlineStr">
        <is>
          <t>不符合處：SpecUSR 前台列表 COLS 未包含標籤與排序編號；SpecResearch/SpecUSR 欄位順序雖有調整，但缺少表列需求的完整欄位。影響範圍：1810 前台專區列表呈現與資料查找。對應檔案：src/SpecFetures/1810/Pages/Client/BizFunc/WEB/SpecUSR/SpecUSR_List.tsx、src/SpecFetures/1810/Pages/Client/BizFunc/WEB/SpecResearch/SpecResearch_List.tsx。建議修正方向：依需求補 Tags/Sort 對應欄位、loader 查詢欄位與顯示順序，並確認後端 DTO 有回傳。涉及：UI、TypeScript、API、CSR。</t>
        </is>
      </c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5" t="n">
        <v>130</v>
      </c>
      <c r="B109" s="15" t="inlineStr">
        <is>
          <t>測試站後台問題表(wcms)</t>
        </is>
      </c>
      <c r="C109" s="15" t="inlineStr">
        <is>
          <t>88</t>
        </is>
      </c>
      <c r="D109" s="15" t="inlineStr">
        <is>
          <t>廣告輪播/學發組內頁Banner</t>
        </is>
      </c>
      <c r="E109" s="15" t="inlineStr">
        <is>
          <t>Banner</t>
        </is>
      </c>
      <c r="F109" s="15" t="inlineStr">
        <is>
          <t>1/ 承上，刪除時是否有【確認刪除】pop-up訊息提示？
2/ 於【圖片2】頁籤點擊×時，可否自動回到圖片1頁籤？目前需再重新點擊圖片1才會顯示出內容。</t>
        </is>
      </c>
      <c r="G109" s="15" t="inlineStr">
        <is>
          <t>功能/資料</t>
        </is>
      </c>
      <c r="H109" s="15" t="inlineStr">
        <is>
          <t>中</t>
        </is>
      </c>
      <c r="I109" s="15" t="inlineStr">
        <is>
          <t>M</t>
        </is>
      </c>
      <c r="J109" s="15" t="n">
        <v>2</v>
      </c>
      <c r="K109" s="15" t="inlineStr">
        <is>
          <t>退回，未通過</t>
        </is>
      </c>
      <c r="L109" s="15" t="inlineStr">
        <is>
          <t>複驗未通過</t>
        </is>
      </c>
      <c r="M109" s="15" t="n"/>
      <c r="N109" s="15" t="inlineStr">
        <is>
          <t>src/Features/Pages/Server/BizFunc/WEB/Banner；src/Features/WEB/Banner</t>
        </is>
      </c>
      <c r="O109" s="15" t="inlineStr">
        <is>
          <t>2hr</t>
        </is>
      </c>
      <c r="P109" s="17" t="inlineStr">
        <is>
          <t>第十七批依本次 ZIP 複驗：Banner 列表刪除有共用 confirm，但 Banner 表單內圖片明細 EditGrid 未傳 deleteConfirmMessage；刪除目前展開的圖片列只會 setExpandedRowKey(null)，沒有自動切回圖片1/第一筆語系明細。</t>
        </is>
      </c>
      <c r="Q109" s="17" t="inlineStr">
        <is>
          <t>2026-05-27</t>
        </is>
      </c>
      <c r="R109" s="17" t="inlineStr">
        <is>
          <t>不符合處：Banner 圖片明細列刪除沒有明確確認訊息，且於圖片2頁籤/展開列刪除後未自動切回圖片1或第一筆可視內容。影響範圍：Banner 後台圖片明細編輯，可能誤刪圖片列，刪除後畫面也可能停在空白/未選取狀態。對應檔案：src/Features/Pages/Server/BizFunc/WEB/Banner/Server_BannerSlider_Form_Comp.tsx、src/Features/Pages/Server/Scaffold/InputComponets/EditGrid/EditGrid.tsx。建議修正方向：Banner EditGrid 傳入 deleteConfirmMessage，刪除 expandedRowKey 對應列後改選第一筆剩餘列或上一筆，並同步 aria-live/焦點提示。涉及 AA / UI / CSR。</t>
        </is>
      </c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8" t="n">
        <v>131</v>
      </c>
      <c r="B110" s="18" t="inlineStr">
        <is>
          <t>測試站後台問題表(wcms)</t>
        </is>
      </c>
      <c r="C110" s="18" t="inlineStr">
        <is>
          <t>22</t>
        </is>
      </c>
      <c r="D110" s="18" t="inlineStr">
        <is>
          <t>公告/列表</t>
        </is>
      </c>
      <c r="E110" s="18" t="inlineStr">
        <is>
          <t>Announcement</t>
        </is>
      </c>
      <c r="F110" s="18" t="inlineStr">
        <is>
          <t>編輯任一公告後該則公告就會跑到第一個，列表公告的新舊建立順序混亂，列表顯示可否依據建立時間的新到舊往下排列，而不是修改時間？</t>
        </is>
      </c>
      <c r="G110" s="18" t="inlineStr">
        <is>
          <t>功能/資料</t>
        </is>
      </c>
      <c r="H110" s="18" t="inlineStr">
        <is>
          <t>中</t>
        </is>
      </c>
      <c r="I110" s="18" t="inlineStr">
        <is>
          <t>M</t>
        </is>
      </c>
      <c r="J110" s="18" t="n">
        <v>2</v>
      </c>
      <c r="K110" s="18" t="inlineStr">
        <is>
          <t>已完成</t>
        </is>
      </c>
      <c r="L110" s="18" t="inlineStr">
        <is>
          <t>複驗通過</t>
        </is>
      </c>
      <c r="M110" s="18" t="inlineStr">
        <is>
          <t>2026-05-27</t>
        </is>
      </c>
      <c r="N110" s="18" t="inlineStr">
        <is>
          <t>src/Features/Pages/Server/BizFunc/WEB/Announcement；src/Features/Pages/Client/...</t>
        </is>
      </c>
      <c r="O110" s="18" t="inlineStr">
        <is>
          <t>同29?
功能列表統一 後新增的在前面  , 後更新的在前面</t>
        </is>
      </c>
      <c r="P110" s="17" t="inlineStr">
        <is>
          <t>第十六批 ZIP 複驗通過：Announcement List 查詢 OrderBy 使用 AnnouncementFields.CreateTime Desc，符合本列『依新增日期而非修改日期排序』。</t>
        </is>
      </c>
      <c r="Q110" s="17" t="inlineStr">
        <is>
          <t>2026-05-27</t>
        </is>
      </c>
      <c r="R110" s="17" t="str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5" t="n">
        <v>132</v>
      </c>
      <c r="B111" s="15" t="inlineStr">
        <is>
          <t>測試站後台問題表(wcms)</t>
        </is>
      </c>
      <c r="C111" s="15" t="inlineStr">
        <is>
          <t>23</t>
        </is>
      </c>
      <c r="D111" s="15" t="inlineStr">
        <is>
          <t>公告/編輯</t>
        </is>
      </c>
      <c r="E111" s="15" t="inlineStr">
        <is>
          <t>Announcement</t>
        </is>
      </c>
      <c r="F111" s="15" t="inlineStr">
        <is>
          <t>mail連結是否可加上連結類型（與1810相同）？目前設定完後若為mail型式會再跳出一個訊息，能在第一次設定時就直接選擇？</t>
        </is>
      </c>
      <c r="G111" s="15" t="inlineStr">
        <is>
          <t>功能/資料</t>
        </is>
      </c>
      <c r="H111" s="15" t="inlineStr">
        <is>
          <t>中</t>
        </is>
      </c>
      <c r="I111" s="15" t="inlineStr">
        <is>
          <t>M</t>
        </is>
      </c>
      <c r="J111" s="15" t="n">
        <v>2</v>
      </c>
      <c r="K111" s="15" t="inlineStr">
        <is>
          <t>退回，未通過</t>
        </is>
      </c>
      <c r="L111" s="15" t="inlineStr">
        <is>
          <t>複驗未通過</t>
        </is>
      </c>
      <c r="M111" s="15" t="str"/>
      <c r="N111" s="15" t="inlineStr">
        <is>
          <t>src/Features/Pages/Server/BizFunc/WEB/Announcement；src/Features/Pages/Client/...</t>
        </is>
      </c>
      <c r="O111" s="15" t="inlineStr">
        <is>
          <t>已完成</t>
        </is>
      </c>
      <c r="P111" s="17" t="inlineStr">
        <is>
          <t>第十六批 ZIP 複驗未通過：TinyMCE 尚未看到『信箱/mailto 類型』的自訂插入流程。</t>
        </is>
      </c>
      <c r="Q111" s="17" t="inlineStr">
        <is>
          <t>2026-05-27</t>
        </is>
      </c>
      <c r="R111" s="17" t="inlineStr">
        <is>
          <t>不符合處：TinyMCE_Hook 有 link、image、自訂檔案上傳、iframe/PDF iframe，但未見 mailto 類型選擇或信箱連結專用流程；目前僅 CmsHtml_Parse/一般連結允許 mailto scheme。影響範圍：後台編輯器新增 Email 連結的操作一致性與驗收。對應檔案：src/SysCore/Components/TinyMCE/TinyMCE_Hook.ts、src/SysCore/Components/CmsHtml/CmsHtml_Parse.ts。建議修正方向：在 TinyMCE 增加 Email 連結插入 dialog 或 link 類型輔助，產生 mailto: 並保留 AA 可辨識文字。涉及：UI、AA、CSR、弱掃風險低。</t>
        </is>
      </c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8" t="n">
        <v>133</v>
      </c>
      <c r="B112" s="18" t="inlineStr">
        <is>
          <t>測試站後台問題表(wcms)</t>
        </is>
      </c>
      <c r="C112" s="18" t="inlineStr">
        <is>
          <t>43</t>
        </is>
      </c>
      <c r="D112" s="18" t="inlineStr">
        <is>
          <t>相簿/列表</t>
        </is>
      </c>
      <c r="E112" s="18" t="inlineStr">
        <is>
          <t>Announcement</t>
        </is>
      </c>
      <c r="F112" s="18" t="inlineStr">
        <is>
          <t>編輯任一相簿資訊後該相簿就會跑到第一個，列表相簿的新舊建立順序混亂，列表顯示可否依據建立時間的新到舊往下排列，而不是修改時間？</t>
        </is>
      </c>
      <c r="G112" s="18" t="inlineStr">
        <is>
          <t>功能/資料</t>
        </is>
      </c>
      <c r="H112" s="18" t="inlineStr">
        <is>
          <t>中</t>
        </is>
      </c>
      <c r="I112" s="18" t="inlineStr">
        <is>
          <t>M</t>
        </is>
      </c>
      <c r="J112" s="18" t="n">
        <v>2</v>
      </c>
      <c r="K112" s="18" t="inlineStr">
        <is>
          <t>已完成</t>
        </is>
      </c>
      <c r="L112" s="18" t="inlineStr">
        <is>
          <t>複驗通過</t>
        </is>
      </c>
      <c r="M112" s="18" t="inlineStr">
        <is>
          <t>2026-05-27</t>
        </is>
      </c>
      <c r="N112" s="18" t="inlineStr">
        <is>
          <t>src/Features/Pages/Server/BizFunc/WEB/Announcement；src/Features/Pages/Client/...</t>
        </is>
      </c>
      <c r="O112" s="18" t="inlineStr">
        <is>
          <t>調整前端Orderby:公告日期、修改時間</t>
        </is>
      </c>
      <c r="P112" s="17" t="inlineStr">
        <is>
          <t>第十六批 ZIP 複驗通過：Gallery List 查詢 OrderBy 使用 GalleryFields.CreateTime Desc，符合本列『依新增日期而非修改日期排序』。</t>
        </is>
      </c>
      <c r="Q112" s="17" t="inlineStr">
        <is>
          <t>2026-05-27</t>
        </is>
      </c>
      <c r="R112" s="17" t="str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5" t="n">
        <v>134</v>
      </c>
      <c r="B113" s="15" t="inlineStr">
        <is>
          <t>測試站後台問題表(wcms)</t>
        </is>
      </c>
      <c r="C113" s="15" t="inlineStr">
        <is>
          <t>44</t>
        </is>
      </c>
      <c r="D113" s="15" t="inlineStr">
        <is>
          <t>相簿/列表</t>
        </is>
      </c>
      <c r="E113" s="15" t="inlineStr">
        <is>
          <t>Gallery</t>
        </is>
      </c>
      <c r="F113" s="15" t="inlineStr">
        <is>
          <t>列表頁數無法顯示目前所在哪一頁</t>
        </is>
      </c>
      <c r="G113" s="15" t="inlineStr">
        <is>
          <t>功能/資料</t>
        </is>
      </c>
      <c r="H113" s="15" t="inlineStr">
        <is>
          <t>中</t>
        </is>
      </c>
      <c r="I113" s="15" t="inlineStr">
        <is>
          <t>M</t>
        </is>
      </c>
      <c r="J113" s="15" t="n">
        <v>2</v>
      </c>
      <c r="K113" s="15" t="inlineStr">
        <is>
          <t>已完成</t>
        </is>
      </c>
      <c r="L113" s="15" t="inlineStr">
        <is>
          <t>複驗通過</t>
        </is>
      </c>
      <c r="M113" s="15" t="inlineStr">
        <is>
          <t>2026-05-27</t>
        </is>
      </c>
      <c r="N113" s="15" t="inlineStr">
        <is>
          <t>src/Features/Pages/Server/BizFunc/WEB/Gallery；src/Features/Pages/Client/BizFu...</t>
        </is>
      </c>
      <c r="O113" s="15" t="inlineStr">
        <is>
          <t>同18</t>
        </is>
      </c>
      <c r="P113" s="17" t="inlineStr">
        <is>
          <t>第十六批 ZIP 複驗通過：Gallery List hook 已提供 baseGrid 的 CurrentPage/TotalPage/onPageChange，列表透過共用 Grid/Paginator 顯示目前頁。</t>
        </is>
      </c>
      <c r="Q113" s="17" t="inlineStr">
        <is>
          <t>2026-05-27</t>
        </is>
      </c>
      <c r="R113" s="17" t="str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8" t="n">
        <v>135</v>
      </c>
      <c r="B114" s="18" t="inlineStr">
        <is>
          <t>測試站後台問題表(wcms)</t>
        </is>
      </c>
      <c r="C114" s="18" t="inlineStr">
        <is>
          <t>45</t>
        </is>
      </c>
      <c r="D114" s="18" t="inlineStr">
        <is>
          <t>相簿/列表</t>
        </is>
      </c>
      <c r="E114" s="18" t="inlineStr">
        <is>
          <t>Gallery</t>
        </is>
      </c>
      <c r="F114" s="18" t="inlineStr">
        <is>
          <t>列表欄位請增加【新增日期】和【排序】二欄資訊（以利於快速檢核前台的顯示順序，不需逐一點進去看）</t>
        </is>
      </c>
      <c r="G114" s="18" t="inlineStr">
        <is>
          <t>排序/狀態</t>
        </is>
      </c>
      <c r="H114" s="18" t="inlineStr">
        <is>
          <t>中</t>
        </is>
      </c>
      <c r="I114" s="18" t="inlineStr">
        <is>
          <t>M</t>
        </is>
      </c>
      <c r="J114" s="18" t="n">
        <v>2</v>
      </c>
      <c r="K114" s="18" t="inlineStr">
        <is>
          <t>退回，未通過</t>
        </is>
      </c>
      <c r="L114" s="18" t="inlineStr">
        <is>
          <t>複驗未通過</t>
        </is>
      </c>
      <c r="M114" s="18" t="str"/>
      <c r="N114" s="18" t="inlineStr">
        <is>
          <t>src/Features/Pages/Server/BizFunc/WEB/Gallery；src/Features/Pages/Client/BizFu...</t>
        </is>
      </c>
      <c r="O114" s="18" t="inlineStr">
        <is>
          <t>列表一律改為創建時間排序，越晚新增的越前面</t>
        </is>
      </c>
      <c r="P114" s="17" t="inlineStr">
        <is>
          <t>第十六批 ZIP 複驗未通過：目前 Gallery List 仍未完整呈現新增日期與排序欄位。</t>
        </is>
      </c>
      <c r="Q114" s="17" t="inlineStr">
        <is>
          <t>2026-05-27</t>
        </is>
      </c>
      <c r="R114" s="17" t="inlineStr">
        <is>
          <t>不符合處：Gallery List visibleCols 只有封面、標題、修改者、修改時間，未加入新增日期與排序欄位。影響範圍：後台相簿列表欄位呈現與驗收資料判讀。對應檔案：src/Features/Pages/Server/BizFunc/WEB/Gallery/Server_Gallery_List_Hook.ts。建議修正方向：補查詢欄位與 visibleCols，將 CreateTime/排序欄位納入列表；若後端 DTO 尚無排序欄位需同步補 API/映射。涉及：UI、TypeScript、API。</t>
        </is>
      </c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5" t="n">
        <v>136</v>
      </c>
      <c r="B115" s="15" t="inlineStr">
        <is>
          <t>測試站後台問題表(wcms)</t>
        </is>
      </c>
      <c r="C115" s="15" t="inlineStr">
        <is>
          <t>61</t>
        </is>
      </c>
      <c r="D115" s="15" t="inlineStr">
        <is>
          <t>頁面/列表</t>
        </is>
      </c>
      <c r="E115" s="15" t="inlineStr">
        <is>
          <t>PageManagement / TinyMCE</t>
        </is>
      </c>
      <c r="F115" s="15" t="inlineStr">
        <is>
          <t>列表頁數無法顯示目前所在哪一頁</t>
        </is>
      </c>
      <c r="G115" s="15" t="inlineStr">
        <is>
          <t>功能/資料</t>
        </is>
      </c>
      <c r="H115" s="15" t="inlineStr">
        <is>
          <t>中</t>
        </is>
      </c>
      <c r="I115" s="15" t="inlineStr">
        <is>
          <t>M</t>
        </is>
      </c>
      <c r="J115" s="15" t="n">
        <v>2</v>
      </c>
      <c r="K115" s="15" t="inlineStr">
        <is>
          <t>已完成</t>
        </is>
      </c>
      <c r="L115" s="15" t="inlineStr">
        <is>
          <t>複驗通過</t>
        </is>
      </c>
      <c r="M115" s="15" t="inlineStr">
        <is>
          <t>2026-05-27</t>
        </is>
      </c>
      <c r="N115" s="15" t="inlineStr">
        <is>
          <t>src/Features/Pages/Server/BizFunc/WEB/PageManagement；src/SysCore/Components/T...</t>
        </is>
      </c>
      <c r="O115" s="15" t="inlineStr">
        <is>
          <t>同18</t>
        </is>
      </c>
      <c r="P115" s="17" t="inlineStr">
        <is>
          <t>第十六批 ZIP 複驗通過：PageManagement List 已接 Server_ListGridTemplate 與共用 Grid；baseGrid 已提供 CurrentPage/TotalPage/onPageChange，符合目前頁顯示需求。</t>
        </is>
      </c>
      <c r="Q115" s="17" t="inlineStr">
        <is>
          <t>2026-05-27</t>
        </is>
      </c>
      <c r="R115" s="17" t="str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8" t="n">
        <v>137</v>
      </c>
      <c r="B116" s="18" t="inlineStr">
        <is>
          <t>測試站後台問題表(wcms)</t>
        </is>
      </c>
      <c r="C116" s="18" t="inlineStr">
        <is>
          <t>84</t>
        </is>
      </c>
      <c r="D116" s="18" t="inlineStr">
        <is>
          <t>廣告輪播</t>
        </is>
      </c>
      <c r="E116" s="18" t="inlineStr">
        <is>
          <t>Banner</t>
        </is>
      </c>
      <c r="F116" s="18" t="inlineStr">
        <is>
          <t>搜尋設定再依照各功能設定</t>
        </is>
      </c>
      <c r="G116" s="18" t="inlineStr">
        <is>
          <t>搜尋</t>
        </is>
      </c>
      <c r="H116" s="18" t="inlineStr">
        <is>
          <t>中</t>
        </is>
      </c>
      <c r="I116" s="18" t="inlineStr">
        <is>
          <t>M</t>
        </is>
      </c>
      <c r="J116" s="18" t="n">
        <v>2</v>
      </c>
      <c r="K116" s="18" t="inlineStr">
        <is>
          <t>已完成</t>
        </is>
      </c>
      <c r="L116" s="18" t="inlineStr">
        <is>
          <t>複驗通過</t>
        </is>
      </c>
      <c r="M116" s="18" t="inlineStr">
        <is>
          <t>2026-05-27</t>
        </is>
      </c>
      <c r="N116" s="18" t="inlineStr">
        <is>
          <t>src/Features/Pages/Server/BizFunc/WEB/Banner；src/Features/WEB/Banner</t>
        </is>
      </c>
      <c r="O116" s="18" t="inlineStr">
        <is>
          <t>暫時先搜尋標題</t>
        </is>
      </c>
      <c r="P116" s="17" t="inlineStr">
        <is>
          <t>第十六批 ZIP 複驗通過：Banner List 已接共用 SearchBar，目前以標題作為搜尋條件，符合本列『暫時先搜尋標題』驗收方向。</t>
        </is>
      </c>
      <c r="Q116" s="17" t="inlineStr">
        <is>
          <t>2026-05-27</t>
        </is>
      </c>
      <c r="R116" s="17" t="str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5" t="n">
        <v>138</v>
      </c>
      <c r="B117" s="15" t="inlineStr">
        <is>
          <t>測試站後台問題表(wcms)</t>
        </is>
      </c>
      <c r="C117" s="15" t="inlineStr">
        <is>
          <t>148</t>
        </is>
      </c>
      <c r="D117" s="15" t="inlineStr">
        <is>
          <t>(研發處)
研發處相簿</t>
        </is>
      </c>
      <c r="E117" s="15" t="inlineStr">
        <is>
          <t>Gallery</t>
        </is>
      </c>
      <c r="F117" s="15" t="inlineStr">
        <is>
          <t>列表加入狀態、上架日期，讓管理者可以看到排序邏輯</t>
        </is>
      </c>
      <c r="G117" s="15" t="inlineStr">
        <is>
          <t>排序/狀態</t>
        </is>
      </c>
      <c r="H117" s="15" t="inlineStr">
        <is>
          <t>中</t>
        </is>
      </c>
      <c r="I117" s="15" t="inlineStr">
        <is>
          <t>M</t>
        </is>
      </c>
      <c r="J117" s="15" t="n">
        <v>2</v>
      </c>
      <c r="K117" s="15" t="inlineStr">
        <is>
          <t>退回，未通過</t>
        </is>
      </c>
      <c r="L117" s="15" t="inlineStr">
        <is>
          <t>複驗未通過</t>
        </is>
      </c>
      <c r="M117" s="15" t="str"/>
      <c r="N117" s="15" t="inlineStr">
        <is>
          <t>src/Features/Pages/Server/BizFunc/WEB/Gallery；src/Features/Pages/Client/BizFu...</t>
        </is>
      </c>
      <c r="O117" s="15" t="inlineStr">
        <is>
          <t>已完成可測試</t>
        </is>
      </c>
      <c r="P117" s="17" t="inlineStr">
        <is>
          <t>第十六批 ZIP 複驗未通過：目前 Gallery List 未完整提供獨立狀態欄與上架日期欄。</t>
        </is>
      </c>
      <c r="Q117" s="17" t="inlineStr">
        <is>
          <t>2026-05-27</t>
        </is>
      </c>
      <c r="R117" s="17" t="inlineStr">
        <is>
          <t>不符合處：狀態僅疑似嵌在標題顯示，未作為獨立欄位；列表也未加入 Validate_Start/上架日期欄。影響範圍：後台相簿清單管理與上架判讀。對應檔案：src/Features/Pages/Server/BizFunc/WEB/Gallery/Server_Gallery_List_Hook.ts。建議修正方向：新增狀態與 Validate_Start 欄位查詢、欄位定義與 visibleCols，並確認 API DTO 有回傳。涉及：UI、TypeScript、API。</t>
        </is>
      </c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8" t="n">
        <v>141</v>
      </c>
      <c r="B118" s="18" t="inlineStr">
        <is>
          <t>專案ZIP對標補漏</t>
        </is>
      </c>
      <c r="C118" s="18" t="inlineStr">
        <is>
          <t>ZIP-004</t>
        </is>
      </c>
      <c r="D118" s="18" t="inlineStr">
        <is>
          <t>CreateUserId / UpdateUserId 映射處理確認</t>
        </is>
      </c>
      <c r="E118" s="18" t="inlineStr">
        <is>
          <t>BizService</t>
        </is>
      </c>
      <c r="F118" s="18" t="inlineStr">
        <is>
          <t>BizService 有暫時寫法 TODO，牽涉共用資料異動欄位與動態映射快取，建議收斂。</t>
        </is>
      </c>
      <c r="G118" s="18" t="inlineStr">
        <is>
          <t>功能/資料</t>
        </is>
      </c>
      <c r="H118" s="18" t="inlineStr">
        <is>
          <t>中</t>
        </is>
      </c>
      <c r="I118" s="18" t="inlineStr">
        <is>
          <t>M</t>
        </is>
      </c>
      <c r="J118" s="18" t="n">
        <v>4</v>
      </c>
      <c r="K118" s="18" t="inlineStr">
        <is>
          <t>待修</t>
        </is>
      </c>
      <c r="L118" s="18" t="inlineStr">
        <is>
          <t>未驗收</t>
        </is>
      </c>
      <c r="M118" s="18" t="n"/>
      <c r="N118" s="18" t="inlineStr">
        <is>
          <t>SysCore/BizService.cs</t>
        </is>
      </c>
      <c r="O118" s="18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5" t="n">
        <v>147</v>
      </c>
      <c r="B119" s="15" t="inlineStr">
        <is>
          <t>測試站後台問題表(wcms)</t>
        </is>
      </c>
      <c r="C119" s="15" t="inlineStr">
        <is>
          <t>117</t>
        </is>
      </c>
      <c r="D119" s="15" t="inlineStr">
        <is>
          <t>後台編輯器</t>
        </is>
      </c>
      <c r="E119" s="15" t="inlineStr">
        <is>
          <t>PageManagement / TinyMCE</t>
        </is>
      </c>
      <c r="F119" s="15" t="inlineStr">
        <is>
          <t>後台TinyMCE表格屬性調整：
Cell properties位置移動到Table properties下方；刪除Row+Column propert...</t>
        </is>
      </c>
      <c r="G119" s="15" t="inlineStr">
        <is>
          <t>編輯器</t>
        </is>
      </c>
      <c r="H119" s="15" t="inlineStr">
        <is>
          <t>中</t>
        </is>
      </c>
      <c r="I119" s="15" t="inlineStr">
        <is>
          <t>L</t>
        </is>
      </c>
      <c r="J119" s="15" t="n">
        <v>6</v>
      </c>
      <c r="K119" s="15" t="inlineStr">
        <is>
          <t>待修</t>
        </is>
      </c>
      <c r="L119" s="15" t="inlineStr">
        <is>
          <t>未驗收</t>
        </is>
      </c>
      <c r="M119" s="15" t="n"/>
      <c r="N119" s="15" t="inlineStr">
        <is>
          <t>src/Features/Pages/Server/BizFunc/WEB/PageManagement；src/SysCore/Components/T...</t>
        </is>
      </c>
      <c r="O119" s="15" t="inlineStr">
        <is>
          <t>問題關聯#107</t>
        </is>
      </c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8" t="n">
        <v>148</v>
      </c>
      <c r="B120" s="18" t="inlineStr">
        <is>
          <t>測試站後台問題表(wcms)</t>
        </is>
      </c>
      <c r="C120" s="18" t="inlineStr">
        <is>
          <t>130</t>
        </is>
      </c>
      <c r="D120" s="18" t="inlineStr">
        <is>
          <t>1816後台編輯器</t>
        </is>
      </c>
      <c r="E120" s="18" t="inlineStr">
        <is>
          <t>PageManagement / TinyMCE</t>
        </is>
      </c>
      <c r="F120" s="18" t="inlineStr">
        <is>
          <t>後台TinyMCE表格屬性：
Border style 選取設定後無反應</t>
        </is>
      </c>
      <c r="G120" s="18" t="inlineStr">
        <is>
          <t>編輯器</t>
        </is>
      </c>
      <c r="H120" s="18" t="inlineStr">
        <is>
          <t>中</t>
        </is>
      </c>
      <c r="I120" s="18" t="inlineStr">
        <is>
          <t>L</t>
        </is>
      </c>
      <c r="J120" s="18" t="n">
        <v>6</v>
      </c>
      <c r="K120" s="18" t="inlineStr">
        <is>
          <t>待修</t>
        </is>
      </c>
      <c r="L120" s="18" t="inlineStr">
        <is>
          <t>未驗收</t>
        </is>
      </c>
      <c r="M120" s="18" t="n"/>
      <c r="N120" s="18" t="inlineStr">
        <is>
          <t>src/Features/Pages/Server/BizFunc/WEB/PageManagement；src/SysCore/Components/T...</t>
        </is>
      </c>
      <c r="O120" s="18" t="inlineStr">
        <is>
          <t>問題關聯#117</t>
        </is>
      </c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5" t="n">
        <v>150</v>
      </c>
      <c r="B121" s="15" t="inlineStr">
        <is>
          <t>測試站後台問題表(wcms)</t>
        </is>
      </c>
      <c r="C121" s="15" t="inlineStr">
        <is>
          <t>133</t>
        </is>
      </c>
      <c r="D121" s="15" t="inlineStr">
        <is>
          <t>文字編輯器</t>
        </is>
      </c>
      <c r="E121" s="15" t="inlineStr">
        <is>
          <t>PageManagement / TinyMCE</t>
        </is>
      </c>
      <c r="F121" s="15" t="inlineStr">
        <is>
          <t>表格右鍵顯示名稱可否改成中文</t>
        </is>
      </c>
      <c r="G121" s="15" t="inlineStr">
        <is>
          <t>多語系</t>
        </is>
      </c>
      <c r="H121" s="15" t="inlineStr">
        <is>
          <t>中</t>
        </is>
      </c>
      <c r="I121" s="15" t="inlineStr">
        <is>
          <t>L</t>
        </is>
      </c>
      <c r="J121" s="15" t="n">
        <v>6</v>
      </c>
      <c r="K121" s="15" t="inlineStr">
        <is>
          <t>待修</t>
        </is>
      </c>
      <c r="L121" s="15" t="inlineStr">
        <is>
          <t>未驗收</t>
        </is>
      </c>
      <c r="M121" s="15" t="n"/>
      <c r="N121" s="15" t="inlineStr">
        <is>
          <t>src/Features/Pages/Server/BizFunc/WEB/PageManagement；src/SysCore/Components/T...</t>
        </is>
      </c>
      <c r="O121" s="15" t="inlineStr">
        <is>
          <t>說明字眼需用參數化處理
以便後續轉多語系可隨時切換</t>
        </is>
      </c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8" t="n">
        <v>151</v>
      </c>
      <c r="B122" s="18" t="inlineStr">
        <is>
          <t>測試站後台問題表(wcms)</t>
        </is>
      </c>
      <c r="C122" s="18" t="inlineStr">
        <is>
          <t>134</t>
        </is>
      </c>
      <c r="D122" s="18" t="inlineStr">
        <is>
          <t>1816後台編輯器</t>
        </is>
      </c>
      <c r="E122" s="18" t="inlineStr">
        <is>
          <t>PageManagement / TinyMCE</t>
        </is>
      </c>
      <c r="F122" s="18" t="inlineStr">
        <is>
          <t>後台TinyMCE表格屬性：
合併過的儲存格欄位可以分割，但正常的儲存格就無法一分為二</t>
        </is>
      </c>
      <c r="G122" s="18" t="inlineStr">
        <is>
          <t>編輯器</t>
        </is>
      </c>
      <c r="H122" s="18" t="inlineStr">
        <is>
          <t>中</t>
        </is>
      </c>
      <c r="I122" s="18" t="inlineStr">
        <is>
          <t>L</t>
        </is>
      </c>
      <c r="J122" s="18" t="n">
        <v>6</v>
      </c>
      <c r="K122" s="18" t="inlineStr">
        <is>
          <t>待修</t>
        </is>
      </c>
      <c r="L122" s="18" t="inlineStr">
        <is>
          <t>未驗收</t>
        </is>
      </c>
      <c r="M122" s="18" t="n"/>
      <c r="N122" s="18" t="inlineStr">
        <is>
          <t>src/Features/Pages/Server/BizFunc/WEB/PageManagement；src/SysCore/Components/T...</t>
        </is>
      </c>
      <c r="O122" s="18" t="inlineStr">
        <is>
          <t>問題關聯#117</t>
        </is>
      </c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5" t="n">
        <v>152</v>
      </c>
      <c r="B123" s="15" t="inlineStr">
        <is>
          <t>測試站後台問題表(wcms)</t>
        </is>
      </c>
      <c r="C123" s="15" t="inlineStr">
        <is>
          <t>135</t>
        </is>
      </c>
      <c r="D123" s="15" t="inlineStr">
        <is>
          <t>圖檔上傳</t>
        </is>
      </c>
      <c r="E123" s="15" t="inlineStr">
        <is>
          <t>Banner</t>
        </is>
      </c>
      <c r="F123" s="15" t="inlineStr">
        <is>
          <t>新建資料後若未上傳圖片，提示文字訊息是否需要修改？（後續再測試一遍有上傳圖片的就未出現「系統內部發生異常」訊息）</t>
        </is>
      </c>
      <c r="G123" s="15" t="inlineStr">
        <is>
          <t>檔案/媒體</t>
        </is>
      </c>
      <c r="H123" s="15" t="inlineStr">
        <is>
          <t>中</t>
        </is>
      </c>
      <c r="I123" s="15" t="inlineStr">
        <is>
          <t>L</t>
        </is>
      </c>
      <c r="J123" s="15" t="n">
        <v>6</v>
      </c>
      <c r="K123" s="15" t="inlineStr">
        <is>
          <t>已完成</t>
        </is>
      </c>
      <c r="L123" s="15" t="inlineStr">
        <is>
          <t>複驗通過</t>
        </is>
      </c>
      <c r="M123" s="15" t="inlineStr">
        <is>
          <t>2026-05-27</t>
        </is>
      </c>
      <c r="N123" s="15" t="inlineStr">
        <is>
          <t>src/Features/Pages/Server/BizFunc/WEB/Banner；src/Features/WEB/Banner</t>
        </is>
      </c>
      <c r="O123" s="15" t="n"/>
      <c r="P123" s="17" t="inlineStr">
        <is>
          <t>第十七批依本次 ZIP 複驗：Banner 圖片欄位已改由 BannerPicturePreview 顯示「尚未選擇圖片」，有圖片時使用 Server_Preview_Url 預覽；上傳成功後只寫回 internalId，前端不再以空圖片造成破圖式提示。</t>
        </is>
      </c>
      <c r="Q123" s="17" t="inlineStr">
        <is>
          <t>2026-05-27</t>
        </is>
      </c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8" t="n">
        <v>153</v>
      </c>
      <c r="B124" s="18" t="inlineStr">
        <is>
          <t>測試站後台問題表(wcms)</t>
        </is>
      </c>
      <c r="C124" s="18" t="inlineStr">
        <is>
          <t>139</t>
        </is>
      </c>
      <c r="D124" s="18" t="inlineStr">
        <is>
          <t>新增、編輯</t>
        </is>
      </c>
      <c r="E124" s="18" t="inlineStr">
        <is>
          <t>PageManagement / TinyMCE</t>
        </is>
      </c>
      <c r="F124" s="18" t="inlineStr">
        <is>
          <t>Insert iFrame地圖，後台沒有顯示出畫面，但code確實有儲存到資料</t>
        </is>
      </c>
      <c r="G124" s="18" t="inlineStr">
        <is>
          <t>編輯器</t>
        </is>
      </c>
      <c r="H124" s="18" t="inlineStr">
        <is>
          <t>中</t>
        </is>
      </c>
      <c r="I124" s="18" t="inlineStr">
        <is>
          <t>L</t>
        </is>
      </c>
      <c r="J124" s="18" t="n">
        <v>6</v>
      </c>
      <c r="K124" s="18" t="inlineStr">
        <is>
          <t>待修</t>
        </is>
      </c>
      <c r="L124" s="18" t="inlineStr">
        <is>
          <t>未驗收</t>
        </is>
      </c>
      <c r="M124" s="18" t="n"/>
      <c r="N124" s="18" t="inlineStr">
        <is>
          <t>src/Features/Pages/Server/BizFunc/WEB/PageManagement；src/SysCore/Components/T...</t>
        </is>
      </c>
      <c r="O124" s="18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5" t="n">
        <v>154</v>
      </c>
      <c r="B125" s="15" t="inlineStr">
        <is>
          <t>測試站後台問題表(wcms)</t>
        </is>
      </c>
      <c r="C125" s="15" t="inlineStr">
        <is>
          <t>140</t>
        </is>
      </c>
      <c r="D125" s="15" t="inlineStr">
        <is>
          <t>頁面PDF</t>
        </is>
      </c>
      <c r="E125" s="15" t="inlineStr">
        <is>
          <t>FileArchive / 檔案資源</t>
        </is>
      </c>
      <c r="F125" s="15" t="inlineStr">
        <is>
          <t>TinyMCE保存時檢查sandbox資料是否影響browser封鎖問題
(後續處理PDF Insert時一併處理)</t>
        </is>
      </c>
      <c r="G125" s="15" t="inlineStr">
        <is>
          <t>檔案/媒體</t>
        </is>
      </c>
      <c r="H125" s="15" t="inlineStr">
        <is>
          <t>中</t>
        </is>
      </c>
      <c r="I125" s="15" t="inlineStr">
        <is>
          <t>L</t>
        </is>
      </c>
      <c r="J125" s="15" t="n">
        <v>6</v>
      </c>
      <c r="K125" s="15" t="inlineStr">
        <is>
          <t>待修</t>
        </is>
      </c>
      <c r="L125" s="15" t="inlineStr">
        <is>
          <t>未驗收</t>
        </is>
      </c>
      <c r="M125" s="15" t="n"/>
      <c r="N125" s="15" t="inlineStr">
        <is>
          <t>src/Features/Pages/Server/BizFunc/WEB/FileArchive；src/Features/Pages/Client/B...</t>
        </is>
      </c>
      <c r="O125" s="15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8" t="n">
        <v>155</v>
      </c>
      <c r="B126" s="18" t="inlineStr">
        <is>
          <t>測試站後台問題表(wcms)</t>
        </is>
      </c>
      <c r="C126" s="18" t="inlineStr">
        <is>
          <t>144</t>
        </is>
      </c>
      <c r="D126" s="18" t="inlineStr">
        <is>
          <t>檔案室樣式設定</t>
        </is>
      </c>
      <c r="E126" s="18" t="inlineStr">
        <is>
          <t>FileArchive / 檔案資源</t>
        </is>
      </c>
      <c r="F126" s="18" t="inlineStr">
        <is>
          <t>只有清單式</t>
        </is>
      </c>
      <c r="G126" s="18" t="inlineStr">
        <is>
          <t>檔案/媒體</t>
        </is>
      </c>
      <c r="H126" s="18" t="inlineStr">
        <is>
          <t>中</t>
        </is>
      </c>
      <c r="I126" s="18" t="inlineStr">
        <is>
          <t>L</t>
        </is>
      </c>
      <c r="J126" s="18" t="n">
        <v>6</v>
      </c>
      <c r="K126" s="18" t="inlineStr">
        <is>
          <t>待修</t>
        </is>
      </c>
      <c r="L126" s="18" t="inlineStr">
        <is>
          <t>未驗收</t>
        </is>
      </c>
      <c r="M126" s="18" t="n"/>
      <c r="N126" s="18" t="inlineStr">
        <is>
          <t>src/Features/Pages/Server/BizFunc/WEB/FileArchive；src/Features/Pages/Client/B...</t>
        </is>
      </c>
      <c r="O126" s="18" t="inlineStr">
        <is>
          <t>Kevin叫我寫的哈哈哈</t>
        </is>
      </c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5" t="n">
        <v>160</v>
      </c>
      <c r="B127" s="15" t="inlineStr">
        <is>
          <t>測試站後台問題表(wcms)</t>
        </is>
      </c>
      <c r="C127" s="15" t="inlineStr">
        <is>
          <t>118</t>
        </is>
      </c>
      <c r="D127" s="15" t="inlineStr">
        <is>
          <t>後台編輯器</t>
        </is>
      </c>
      <c r="E127" s="15" t="inlineStr">
        <is>
          <t>PageManagement / TinyMCE</t>
        </is>
      </c>
      <c r="F127" s="15" t="inlineStr">
        <is>
          <t>後台TinyMCE：表格跑版</t>
        </is>
      </c>
      <c r="G127" s="15" t="inlineStr">
        <is>
          <t>UI/樣式</t>
        </is>
      </c>
      <c r="H127" s="15" t="inlineStr">
        <is>
          <t>中</t>
        </is>
      </c>
      <c r="I127" s="15" t="inlineStr">
        <is>
          <t>L</t>
        </is>
      </c>
      <c r="J127" s="15" t="n">
        <v>6</v>
      </c>
      <c r="K127" s="15" t="inlineStr">
        <is>
          <t>處理中</t>
        </is>
      </c>
      <c r="L127" s="15" t="inlineStr">
        <is>
          <t>未驗收</t>
        </is>
      </c>
      <c r="M127" s="15" t="n"/>
      <c r="N127" s="15" t="inlineStr">
        <is>
          <t>src/Features/Pages/Server/BizFunc/WEB/PageManagement；src/SysCore/Components/T...</t>
        </is>
      </c>
      <c r="O127" s="15" t="inlineStr">
        <is>
          <t>處理中</t>
        </is>
      </c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8" t="n">
        <v>161</v>
      </c>
      <c r="B128" s="18" t="inlineStr">
        <is>
          <t>測試站後台問題表(wcms)</t>
        </is>
      </c>
      <c r="C128" s="18" t="inlineStr">
        <is>
          <t>119</t>
        </is>
      </c>
      <c r="D128" s="18" t="inlineStr">
        <is>
          <t>後台編輯器</t>
        </is>
      </c>
      <c r="E128" s="18" t="inlineStr">
        <is>
          <t>PageManagement / TinyMCE</t>
        </is>
      </c>
      <c r="F128" s="18" t="inlineStr">
        <is>
          <t>後台TinyMCE：優化顏色選取器，更直觀更好選色。</t>
        </is>
      </c>
      <c r="G128" s="18" t="inlineStr">
        <is>
          <t>編輯器</t>
        </is>
      </c>
      <c r="H128" s="18" t="inlineStr">
        <is>
          <t>中</t>
        </is>
      </c>
      <c r="I128" s="18" t="inlineStr">
        <is>
          <t>L</t>
        </is>
      </c>
      <c r="J128" s="18" t="n">
        <v>6</v>
      </c>
      <c r="K128" s="18" t="inlineStr">
        <is>
          <t>處理中</t>
        </is>
      </c>
      <c r="L128" s="18" t="inlineStr">
        <is>
          <t>未驗收</t>
        </is>
      </c>
      <c r="M128" s="18" t="n"/>
      <c r="N128" s="18" t="inlineStr">
        <is>
          <t>src/Features/Pages/Server/BizFunc/WEB/PageManagement；src/SysCore/Components/T...</t>
        </is>
      </c>
      <c r="O128" s="18" t="inlineStr">
        <is>
          <t>處理中</t>
        </is>
      </c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5" t="n">
        <v>162</v>
      </c>
      <c r="B129" s="15" t="inlineStr">
        <is>
          <t>測試站後台問題表(wcms)</t>
        </is>
      </c>
      <c r="C129" s="15" t="inlineStr">
        <is>
          <t>57</t>
        </is>
      </c>
      <c r="D129" s="15" t="inlineStr">
        <is>
          <t>頁面/文字編輯器</t>
        </is>
      </c>
      <c r="E129" s="15" t="inlineStr">
        <is>
          <t>PageManagement / TinyMCE</t>
        </is>
      </c>
      <c r="F129" s="15" t="inlineStr">
        <is>
          <t>預覽圖片無法顯示</t>
        </is>
      </c>
      <c r="G129" s="15" t="inlineStr">
        <is>
          <t>編輯器</t>
        </is>
      </c>
      <c r="H129" s="15" t="inlineStr">
        <is>
          <t>中</t>
        </is>
      </c>
      <c r="I129" s="15" t="inlineStr">
        <is>
          <t>L</t>
        </is>
      </c>
      <c r="J129" s="15" t="n">
        <v>6</v>
      </c>
      <c r="K129" s="15" t="inlineStr">
        <is>
          <t>待規劃</t>
        </is>
      </c>
      <c r="L129" s="15" t="inlineStr">
        <is>
          <t>未驗收</t>
        </is>
      </c>
      <c r="M129" s="15" t="n"/>
      <c r="N129" s="15" t="inlineStr">
        <is>
          <t>src/Features/Pages/Server/BizFunc/WEB/PageManagement；src/SysCore/Components/T...</t>
        </is>
      </c>
      <c r="O129" s="15" t="inlineStr">
        <is>
          <t>(預覽相關)
TinyMCE移除預覽功能，改由表單的預覽按鈕
測試內容:編輯器沒有預覽按鈕即可通過</t>
        </is>
      </c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8" t="n">
        <v>163</v>
      </c>
      <c r="B130" s="18" t="inlineStr">
        <is>
          <t>測試站後台問題表(wcms)</t>
        </is>
      </c>
      <c r="C130" s="18" t="inlineStr">
        <is>
          <t>96</t>
        </is>
      </c>
      <c r="D130" s="18" t="inlineStr">
        <is>
          <t>檔案室/類別</t>
        </is>
      </c>
      <c r="E130" s="18" t="inlineStr">
        <is>
          <t>FileArchive / 檔案資源</t>
        </is>
      </c>
      <c r="F130" s="18" t="inlineStr">
        <is>
          <t>1. 上方應顯示路徑
2. 繁體中文在English前面</t>
        </is>
      </c>
      <c r="G130" s="18" t="inlineStr">
        <is>
          <t>檔案/媒體</t>
        </is>
      </c>
      <c r="H130" s="18" t="inlineStr">
        <is>
          <t>中</t>
        </is>
      </c>
      <c r="I130" s="18" t="inlineStr">
        <is>
          <t>L</t>
        </is>
      </c>
      <c r="J130" s="18" t="n">
        <v>6</v>
      </c>
      <c r="K130" s="18" t="inlineStr">
        <is>
          <t>退回，未通過</t>
        </is>
      </c>
      <c r="L130" s="18" t="inlineStr">
        <is>
          <t>複驗未通過</t>
        </is>
      </c>
      <c r="M130" s="18" t="n"/>
      <c r="N130" s="18" t="inlineStr">
        <is>
          <t>src/Features/Pages/Server/BizFunc/WEB/FileArchive；src/Features/Pages/Client/B...</t>
        </is>
      </c>
      <c r="O130" s="18" t="inlineStr">
        <is>
          <t>待規劃</t>
        </is>
      </c>
      <c r="P130" s="26" t="inlineStr">
        <is>
          <t>已依本次 ZIP 複驗：FileArchive 類別/標籤走共用 Category/Tag ListForm，useEnsureLangDetails 可依 preferFirstLang 將目前語系優先，zh-tw 在中文站可排前；但上方仍未看到完整路徑/麵包屑顯示。</t>
        </is>
      </c>
      <c r="Q130" s="26" t="inlineStr">
        <is>
          <t>2026-05-27</t>
        </is>
      </c>
      <c r="R130" s="26" t="inlineStr">
        <is>
          <t>不符合處：檔案室/類別上方路徑未明確完成；語系排序雖有 preferFirstLang 機制，但路徑顯示需求未滿足。影響範圍：FileArchive Category/Tag 後台維護頁與多語系辨識。對應檔案：src/Features/Pages/Server/BizFunc/COMM/Category/Server_Category_ListForm_Comp.tsx、src/SysCore/i18n/lang.ts、ServerModuleRoutesData.tsx。建議修正方向：在共用 FormListComp 或 route meta 補「檔案室 / 類別」路徑顯示，並固定 zh-tw/en 頁籤順序或依站台語系可預期排序。涉及：AA/UI/CSR。</t>
        </is>
      </c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5" t="n">
        <v>164</v>
      </c>
      <c r="B131" s="15" t="inlineStr">
        <is>
          <t>測試站後台問題表(wcms)</t>
        </is>
      </c>
      <c r="C131" s="15" t="inlineStr">
        <is>
          <t>106</t>
        </is>
      </c>
      <c r="D131" s="15" t="inlineStr">
        <is>
          <t>新增、編輯</t>
        </is>
      </c>
      <c r="E131" s="15" t="inlineStr">
        <is>
          <t>PageManagement / TinyMCE</t>
        </is>
      </c>
      <c r="F131" s="15" t="inlineStr">
        <is>
          <t>後台TinyMCE未吃到部分css</t>
        </is>
      </c>
      <c r="G131" s="15" t="inlineStr">
        <is>
          <t>搜尋</t>
        </is>
      </c>
      <c r="H131" s="15" t="inlineStr">
        <is>
          <t>中</t>
        </is>
      </c>
      <c r="I131" s="15" t="inlineStr">
        <is>
          <t>L</t>
        </is>
      </c>
      <c r="J131" s="15" t="n">
        <v>6</v>
      </c>
      <c r="K131" s="15" t="inlineStr">
        <is>
          <t>待規劃</t>
        </is>
      </c>
      <c r="L131" s="15" t="inlineStr">
        <is>
          <t>未驗收</t>
        </is>
      </c>
      <c r="M131" s="15" t="n"/>
      <c r="N131" s="15" t="inlineStr">
        <is>
          <t>src/Features/Pages/Server/BizFunc/WEB/PageManagement；src/SysCore/Components/T...</t>
        </is>
      </c>
      <c r="O131" s="15" t="inlineStr">
        <is>
          <t>待規劃</t>
        </is>
      </c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8" t="n">
        <v>165</v>
      </c>
      <c r="B132" s="18" t="inlineStr">
        <is>
          <t>測試站後台問題表(wcms)</t>
        </is>
      </c>
      <c r="C132" s="18" t="inlineStr">
        <is>
          <t>97</t>
        </is>
      </c>
      <c r="D132" s="18" t="inlineStr">
        <is>
          <t>檔案室</t>
        </is>
      </c>
      <c r="E132" s="18" t="inlineStr">
        <is>
          <t>FileArchive / 檔案資源</t>
        </is>
      </c>
      <c r="F132" s="18" t="inlineStr">
        <is>
          <t>上傳檔案後檔名會變成像加密亂碼</t>
        </is>
      </c>
      <c r="G132" s="18" t="inlineStr">
        <is>
          <t>檔案/媒體</t>
        </is>
      </c>
      <c r="H132" s="18" t="inlineStr">
        <is>
          <t>中</t>
        </is>
      </c>
      <c r="I132" s="18" t="inlineStr">
        <is>
          <t>L</t>
        </is>
      </c>
      <c r="J132" s="18" t="n">
        <v>6</v>
      </c>
      <c r="K132" s="18" t="inlineStr">
        <is>
          <t>已完成</t>
        </is>
      </c>
      <c r="L132" s="18" t="inlineStr">
        <is>
          <t>複驗通過</t>
        </is>
      </c>
      <c r="M132" s="18" t="inlineStr">
        <is>
          <t>2026-05-27</t>
        </is>
      </c>
      <c r="N132" s="18" t="inlineStr">
        <is>
          <t>src/Features/Pages/Server/BizFunc/WEB/FileArchive；src/Features/Pages/Client/B...</t>
        </is>
      </c>
      <c r="O132" s="18" t="inlineStr">
        <is>
          <t>已完成</t>
        </is>
      </c>
      <c r="P132" s="17" t="inlineStr">
        <is>
          <t>第十六批 ZIP 複驗通過：LibFileInput/useSetTableFileField 上傳後會寫回 internalId，並可用原始檔名自動帶入檔名；後端下載 BuildFileName 會優先使用 FileName 加副檔名，避免下載顯示隨機碼。</t>
        </is>
      </c>
      <c r="Q132" s="17" t="inlineStr">
        <is>
          <t>2026-05-27</t>
        </is>
      </c>
      <c r="R132" s="17" t="str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5" t="n">
        <v>166</v>
      </c>
      <c r="B133" s="15" t="inlineStr">
        <is>
          <t>測試站後台問題表(wcms)</t>
        </is>
      </c>
      <c r="C133" s="15" t="inlineStr">
        <is>
          <t>102</t>
        </is>
      </c>
      <c r="D133" s="15" t="inlineStr">
        <is>
          <t>檔案室/列表</t>
        </is>
      </c>
      <c r="E133" s="15" t="inlineStr">
        <is>
          <t>FileArchive / 檔案資源</t>
        </is>
      </c>
      <c r="F133" s="15" t="inlineStr">
        <is>
          <t>列表欄位請增加【新增日期】和【排序】二欄資訊（以利於快速檢核前台的顯示順序，不需逐一點進去看）</t>
        </is>
      </c>
      <c r="G133" s="15" t="inlineStr">
        <is>
          <t>排序/狀態</t>
        </is>
      </c>
      <c r="H133" s="15" t="inlineStr">
        <is>
          <t>中</t>
        </is>
      </c>
      <c r="I133" s="15" t="inlineStr">
        <is>
          <t>L</t>
        </is>
      </c>
      <c r="J133" s="15" t="n">
        <v>6</v>
      </c>
      <c r="K133" s="15" t="inlineStr">
        <is>
          <t>退回，未通過</t>
        </is>
      </c>
      <c r="L133" s="15" t="inlineStr">
        <is>
          <t>複驗未通過</t>
        </is>
      </c>
      <c r="M133" s="15" t="str"/>
      <c r="N133" s="15" t="inlineStr">
        <is>
          <t>src/Features/Pages/Server/BizFunc/WEB/FileArchive；src/Features/Pages/Client/B...</t>
        </is>
      </c>
      <c r="O133" s="15" t="inlineStr">
        <is>
          <t>列表一律改為創建時間排序，越晚新增的越前面</t>
        </is>
      </c>
      <c r="P133" s="17" t="inlineStr">
        <is>
          <t>第十六批 ZIP 複驗未通過：FileArchive List 尚未完整呈現新增日期與排序欄位。</t>
        </is>
      </c>
      <c r="Q133" s="17" t="inlineStr">
        <is>
          <t>2026-05-27</t>
        </is>
      </c>
      <c r="R133" s="17" t="inlineStr">
        <is>
          <t>不符合處：FileArchive List visibleCols 目前為類別、標題、修改者、修改時間，未顯示新增日期與排序。影響範圍：後台檔案下載列表欄位與排序管理。對應檔案：src/Features/Pages/Server/BizFunc/WEB/FileArchive/Server_FileArchive_List_Hook.ts。建議修正方向：補 CreateTime/排序欄位的查詢與 visibleCols；若資料模型沒有排序欄位，需先確認需求是否改為新增日期排序。涉及：UI、TypeScript、API。</t>
        </is>
      </c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8" t="n">
        <v>167</v>
      </c>
      <c r="B134" s="18" t="inlineStr">
        <is>
          <t>測試站後台問題表(wcms)</t>
        </is>
      </c>
      <c r="C134" s="18" t="inlineStr">
        <is>
          <t>147</t>
        </is>
      </c>
      <c r="D134" s="18" t="inlineStr">
        <is>
          <t>(研發處)
文字編輯器</t>
        </is>
      </c>
      <c r="E134" s="18" t="inlineStr">
        <is>
          <t>Announcement</t>
        </is>
      </c>
      <c r="F134" s="18" t="inlineStr">
        <is>
          <t>編輯器內的迴紋針功能，裡面URL右側檔案上傳按鈕拔掉，之後都改成文件圖示上傳檔案</t>
        </is>
      </c>
      <c r="G134" s="18" t="inlineStr">
        <is>
          <t>檔案/媒體</t>
        </is>
      </c>
      <c r="H134" s="18" t="inlineStr">
        <is>
          <t>中</t>
        </is>
      </c>
      <c r="I134" s="18" t="inlineStr">
        <is>
          <t>L</t>
        </is>
      </c>
      <c r="J134" s="18" t="n">
        <v>6</v>
      </c>
      <c r="K134" s="18" t="inlineStr">
        <is>
          <t>已完成</t>
        </is>
      </c>
      <c r="L134" s="18" t="inlineStr">
        <is>
          <t>複驗通過</t>
        </is>
      </c>
      <c r="M134" s="18" t="inlineStr">
        <is>
          <t>2026-05-27</t>
        </is>
      </c>
      <c r="N134" s="18" t="inlineStr">
        <is>
          <t>src/Features/Pages/Server/BizFunc/WEB/Announcement；src/Features/Pages/Client/...</t>
        </is>
      </c>
      <c r="O134" s="18" t="inlineStr">
        <is>
          <t>已完成可測試</t>
        </is>
      </c>
      <c r="P134" s="17" t="inlineStr">
        <is>
          <t>第十六批 ZIP 複驗通過：TinyMCE toolbar 已使用自訂 filepicker 文件圖示上傳檔案並插入下載連結；標準 file_picker_types 僅保留 image，未見 URL 右側通用檔案上傳按鈕流程。</t>
        </is>
      </c>
      <c r="Q134" s="17" t="inlineStr">
        <is>
          <t>2026-05-27</t>
        </is>
      </c>
      <c r="R134" s="17" t="str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5" t="n">
        <v>189</v>
      </c>
      <c r="B135" s="15" t="inlineStr">
        <is>
          <t>專案ZIP對標補漏</t>
        </is>
      </c>
      <c r="C135" s="15" t="inlineStr">
        <is>
          <t>ZIP-005</t>
        </is>
      </c>
      <c r="D135" s="15" t="inlineStr">
        <is>
          <t>Redis 化快取前置檢查</t>
        </is>
      </c>
      <c r="E135" s="15" t="inlineStr">
        <is>
          <t>Cache / Redis</t>
        </is>
      </c>
      <c r="F135" s="15" t="inlineStr">
        <is>
          <t>目前專案已有大量 Cache 使用與 Redis 設定項，但部署尚未 Docker/Linux/Redis 化；需先確認本機快取抽象層可替換。</t>
        </is>
      </c>
      <c r="G135" s="15" t="inlineStr">
        <is>
          <t>效能/部署</t>
        </is>
      </c>
      <c r="H135" s="15" t="inlineStr">
        <is>
          <t>中</t>
        </is>
      </c>
      <c r="I135" s="15" t="inlineStr">
        <is>
          <t>L</t>
        </is>
      </c>
      <c r="J135" s="15" t="n">
        <v>8</v>
      </c>
      <c r="K135" s="15" t="inlineStr">
        <is>
          <t>待規劃</t>
        </is>
      </c>
      <c r="L135" s="15" t="inlineStr">
        <is>
          <t>未驗收</t>
        </is>
      </c>
      <c r="M135" s="15" t="n"/>
      <c r="N135" s="15" t="inlineStr">
        <is>
          <t>Program.cs；appsettings*.json；SysCore/Enum/SysParam.cs</t>
        </is>
      </c>
      <c r="O135" s="15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8" t="n">
        <v>200</v>
      </c>
      <c r="B136" s="18" t="inlineStr">
        <is>
          <t>測試站後台問題表(wcms)</t>
        </is>
      </c>
      <c r="C136" s="18" t="inlineStr">
        <is>
          <t>13</t>
        </is>
      </c>
      <c r="D136" s="18" t="inlineStr">
        <is>
          <t>公告/列表</t>
        </is>
      </c>
      <c r="E136" s="18" t="inlineStr">
        <is>
          <t>Announcement</t>
        </is>
      </c>
      <c r="F136" s="18" t="inlineStr">
        <is>
          <t>標題是否可直接點擊直達前台查看？（功能同CK Editor）</t>
        </is>
      </c>
      <c r="G136" s="18" t="inlineStr">
        <is>
          <t>功能/資料</t>
        </is>
      </c>
      <c r="H136" s="18" t="inlineStr">
        <is>
          <t>低</t>
        </is>
      </c>
      <c r="I136" s="18" t="inlineStr">
        <is>
          <t>M</t>
        </is>
      </c>
      <c r="J136" s="18" t="n">
        <v>1.5</v>
      </c>
      <c r="K136" s="18" t="inlineStr">
        <is>
          <t>待規劃</t>
        </is>
      </c>
      <c r="L136" s="18" t="inlineStr">
        <is>
          <t>未驗收</t>
        </is>
      </c>
      <c r="M136" s="18" t="n"/>
      <c r="N136" s="18" t="inlineStr">
        <is>
          <t>src/Features/Pages/Server/BizFunc/WEB/Announcement；src/Features/Pages/Client/BizFunc/WEB/Announcement</t>
        </is>
      </c>
      <c r="O136" s="18" t="inlineStr">
        <is>
          <t>(預覽相關)
1.5hr</t>
        </is>
      </c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5" t="n">
        <v>201</v>
      </c>
      <c r="B137" s="15" t="inlineStr">
        <is>
          <t>測試站後台問題表(wcms)</t>
        </is>
      </c>
      <c r="C137" s="15" t="inlineStr">
        <is>
          <t>50</t>
        </is>
      </c>
      <c r="D137" s="15" t="inlineStr">
        <is>
          <t>研究計畫、
USR計畫</t>
        </is>
      </c>
      <c r="E137" s="15" t="inlineStr">
        <is>
          <t>SpecResearch / SpecUSR</t>
        </is>
      </c>
      <c r="F137" s="15" t="inlineStr">
        <is>
          <t>新增的表單，依選擇的類別(計畫名稱)會標示前台出現的欄位，用顏色或是記號標記都可以</t>
        </is>
      </c>
      <c r="G137" s="15" t="inlineStr">
        <is>
          <t>功能/資料</t>
        </is>
      </c>
      <c r="H137" s="15" t="inlineStr">
        <is>
          <t>低</t>
        </is>
      </c>
      <c r="I137" s="15" t="inlineStr">
        <is>
          <t>M</t>
        </is>
      </c>
      <c r="J137" s="15" t="n">
        <v>1.5</v>
      </c>
      <c r="K137" s="15" t="inlineStr">
        <is>
          <t>待規劃</t>
        </is>
      </c>
      <c r="L137" s="15" t="inlineStr">
        <is>
          <t>未驗收</t>
        </is>
      </c>
      <c r="M137" s="15" t="n"/>
      <c r="N137" s="15" t="inlineStr">
        <is>
          <t>src/SpecFetures/1810/Pages/Server/BizFunc/WEB/SpecResearch；SpecUSR</t>
        </is>
      </c>
      <c r="O137" s="15" t="inlineStr">
        <is>
          <t>待規劃</t>
        </is>
      </c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8" t="n">
        <v>202</v>
      </c>
      <c r="B138" s="18" t="inlineStr">
        <is>
          <t>測試站後台問題表(wcms)</t>
        </is>
      </c>
      <c r="C138" s="18" t="inlineStr">
        <is>
          <t>56</t>
        </is>
      </c>
      <c r="D138" s="18" t="inlineStr">
        <is>
          <t>研究計畫、
USR計畫</t>
        </is>
      </c>
      <c r="E138" s="18" t="inlineStr">
        <is>
          <t>SpecResearch / SpecUSR</t>
        </is>
      </c>
      <c r="F138" s="18" t="inlineStr">
        <is>
          <t>計畫內容簡介輸入框無法正確拉長拉大（如紅框處滑鼠移過去後無作用）</t>
        </is>
      </c>
      <c r="G138" s="18" t="inlineStr">
        <is>
          <t>UI/樣式</t>
        </is>
      </c>
      <c r="H138" s="18" t="inlineStr">
        <is>
          <t>低</t>
        </is>
      </c>
      <c r="I138" s="18" t="inlineStr">
        <is>
          <t>M</t>
        </is>
      </c>
      <c r="J138" s="18" t="n">
        <v>1.5</v>
      </c>
      <c r="K138" s="18" t="inlineStr">
        <is>
          <t>待規劃</t>
        </is>
      </c>
      <c r="L138" s="18" t="inlineStr">
        <is>
          <t>未驗收</t>
        </is>
      </c>
      <c r="M138" s="18" t="n"/>
      <c r="N138" s="18" t="inlineStr">
        <is>
          <t>src/SpecFetures/1810/Pages/Server/BizFunc/WEB/SpecResearch；SpecUSR</t>
        </is>
      </c>
      <c r="O138" s="18" t="inlineStr">
        <is>
          <t>請Cara協助看RichTextbox問題</t>
        </is>
      </c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5" t="n">
        <v>203</v>
      </c>
      <c r="B139" s="15" t="inlineStr">
        <is>
          <t>測試站後台問題表(wcms)</t>
        </is>
      </c>
      <c r="C139" s="15" t="inlineStr">
        <is>
          <t>92</t>
        </is>
      </c>
      <c r="D139" s="15" t="inlineStr">
        <is>
          <t>廣告輪播/新增、編輯</t>
        </is>
      </c>
      <c r="E139" s="15" t="inlineStr">
        <is>
          <t>Banner</t>
        </is>
      </c>
      <c r="F139" s="15" t="inlineStr">
        <is>
          <t>日期欄位年月日無法用tab切換直接輸入，會出現日期格式錯誤訊息</t>
        </is>
      </c>
      <c r="G139" s="15" t="inlineStr">
        <is>
          <t>功能/資料</t>
        </is>
      </c>
      <c r="H139" s="15" t="inlineStr">
        <is>
          <t>低</t>
        </is>
      </c>
      <c r="I139" s="15" t="inlineStr">
        <is>
          <t>M</t>
        </is>
      </c>
      <c r="J139" s="15" t="n">
        <v>1.5</v>
      </c>
      <c r="K139" s="15" t="inlineStr">
        <is>
          <t>待規劃</t>
        </is>
      </c>
      <c r="L139" s="15" t="inlineStr">
        <is>
          <t>未驗收</t>
        </is>
      </c>
      <c r="M139" s="15" t="n"/>
      <c r="N139" s="15" t="inlineStr">
        <is>
          <t>src/Features/Pages/Server/BizFunc/WEB/Banner；src/Features/WEB/Banner</t>
        </is>
      </c>
      <c r="O139" s="15" t="inlineStr">
        <is>
          <t>待規劃</t>
        </is>
      </c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8" t="n">
        <v>204</v>
      </c>
      <c r="B140" s="18" t="inlineStr">
        <is>
          <t>測試站後台問題表(wcms)</t>
        </is>
      </c>
      <c r="C140" s="18" t="inlineStr">
        <is>
          <t>11</t>
        </is>
      </c>
      <c r="D140" s="18" t="inlineStr">
        <is>
          <t>公告/編輯</t>
        </is>
      </c>
      <c r="E140" s="18" t="inlineStr">
        <is>
          <t>Announcement</t>
        </is>
      </c>
      <c r="F140" s="18" t="inlineStr">
        <is>
          <t>Link是否可以點2下就跳出視窗，無需點擊上方icon？（功能同CK Editor）</t>
        </is>
      </c>
      <c r="G140" s="18" t="inlineStr">
        <is>
          <t>功能/資料</t>
        </is>
      </c>
      <c r="H140" s="18" t="inlineStr">
        <is>
          <t>低</t>
        </is>
      </c>
      <c r="I140" s="18" t="inlineStr">
        <is>
          <t>M</t>
        </is>
      </c>
      <c r="J140" s="18" t="n">
        <v>1.5</v>
      </c>
      <c r="K140" s="18" t="inlineStr">
        <is>
          <t>待驗收</t>
        </is>
      </c>
      <c r="L140" s="18" t="inlineStr">
        <is>
          <t>待驗收</t>
        </is>
      </c>
      <c r="M140" s="18" t="n"/>
      <c r="N140" s="18" t="inlineStr">
        <is>
          <t>src/Features/Pages/Server/BizFunc/WEB/Announcement；src/Features/Pages/Client/BizFunc/WEB/Announcement</t>
        </is>
      </c>
      <c r="O140" s="18" t="inlineStr">
        <is>
          <t>已完成</t>
        </is>
      </c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5" t="n">
        <v>205</v>
      </c>
      <c r="B141" s="15" t="inlineStr">
        <is>
          <t>測試站後台問題表(wcms)</t>
        </is>
      </c>
      <c r="C141" s="15" t="inlineStr">
        <is>
          <t>115</t>
        </is>
      </c>
      <c r="D141" s="15" t="inlineStr">
        <is>
          <t>分頁顯示</t>
        </is>
      </c>
      <c r="E141" s="15" t="inlineStr">
        <is>
          <t>後台畫面</t>
        </is>
      </c>
      <c r="F141" s="15" t="inlineStr">
        <is>
          <t>分頁數字中不要有框</t>
        </is>
      </c>
      <c r="G141" s="15" t="inlineStr">
        <is>
          <t>UI/樣式</t>
        </is>
      </c>
      <c r="H141" s="15" t="inlineStr">
        <is>
          <t>低</t>
        </is>
      </c>
      <c r="I141" s="15" t="inlineStr">
        <is>
          <t>M</t>
        </is>
      </c>
      <c r="J141" s="15" t="n">
        <v>2</v>
      </c>
      <c r="K141" s="15" t="inlineStr">
        <is>
          <t>已完成</t>
        </is>
      </c>
      <c r="L141" s="15" t="inlineStr">
        <is>
          <t>複驗通過</t>
        </is>
      </c>
      <c r="M141" s="15" t="inlineStr">
        <is>
          <t>2026-05-27</t>
        </is>
      </c>
      <c r="N141" s="15" t="inlineStr">
        <is>
          <t>依後台問題表模組欄位對應</t>
        </is>
      </c>
      <c r="O141" s="15" t="n"/>
      <c r="P141" s="17" t="inlineStr">
        <is>
          <t>第十七批依本次 ZIP 複驗：共用 NewPaginatorCanInputPage 不再列出一排 page-item 數字框，改為目前頁輸入框、GO、總頁數與前後頁按鈕；符合「分頁數字中不要有框」的方向。</t>
        </is>
      </c>
      <c r="Q141" s="17" t="inlineStr">
        <is>
          <t>2026-05-27</t>
        </is>
      </c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8" t="n">
        <v>206</v>
      </c>
      <c r="B142" s="18" t="inlineStr">
        <is>
          <t>測試站後台問題表(wcms)</t>
        </is>
      </c>
      <c r="C142" s="18" t="inlineStr">
        <is>
          <t>28</t>
        </is>
      </c>
      <c r="D142" s="18" t="inlineStr">
        <is>
          <t>類別和標籤的列表</t>
        </is>
      </c>
      <c r="E142" s="18" t="inlineStr">
        <is>
          <t>Announcement</t>
        </is>
      </c>
      <c r="F142" s="18" t="inlineStr">
        <is>
          <t>列表上下間距縮短一點，方便瀏覽</t>
        </is>
      </c>
      <c r="G142" s="18" t="inlineStr">
        <is>
          <t>功能/資料</t>
        </is>
      </c>
      <c r="H142" s="18" t="inlineStr">
        <is>
          <t>低</t>
        </is>
      </c>
      <c r="I142" s="18" t="inlineStr">
        <is>
          <t>M</t>
        </is>
      </c>
      <c r="J142" s="18" t="n">
        <v>2</v>
      </c>
      <c r="K142" s="18" t="inlineStr">
        <is>
          <t>退回，未通過</t>
        </is>
      </c>
      <c r="L142" s="18" t="inlineStr">
        <is>
          <t>複驗未通過</t>
        </is>
      </c>
      <c r="M142" s="18" t="n"/>
      <c r="N142" s="18" t="inlineStr">
        <is>
          <t>src/Features/Pages/Server/BizFunc/WEB/Announcement；src/Features/Pages/Client/BizFunc/WEB/Announcement</t>
        </is>
      </c>
      <c r="O142" s="18" t="inlineStr">
        <is>
          <t>待規劃</t>
        </is>
      </c>
      <c r="P142" s="17" t="inlineStr">
        <is>
          <t>第十七批依本次 ZIP 複驗：Category / Tag 清單仍使用 list-group-item，內層還保留 checkboxDIV my-2 與 form-switch my-2，沒有明確縮短上下間距；瀏覽大量類別/標籤時仍偏鬆散。</t>
        </is>
      </c>
      <c r="Q142" s="17" t="inlineStr">
        <is>
          <t>2026-05-27</t>
        </is>
      </c>
      <c r="R142" s="17" t="inlineStr">
        <is>
          <t>不符合處：類別與標籤列表上下間距仍偏大，尚未明確縮短。影響範圍：Announcement 及共用 Category / Tag 後台列表，資料量多時瀏覽效率較差。對應檔案：src/Features/Pages/Server/BizFunc/COMM/Category/Server_Category_ListForm_Comp.tsx、src/Features/Pages/Server/BizFunc/COMM/Tags/Server_Tag_ListForm_Comp.tsx。建議修正方向：移除或降低 list-group-item / checkboxDIV my-2 / form-switch my-2 的垂直間距，改成 compact class，並確認操作按鈕仍有足夠可點擊區與焦點樣式。涉及 UI / AA。</t>
        </is>
      </c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5" t="n">
        <v>207</v>
      </c>
      <c r="B143" s="15" t="inlineStr">
        <is>
          <t>測試站後台問題表(wcms)</t>
        </is>
      </c>
      <c r="C143" s="15" t="inlineStr">
        <is>
          <t>21</t>
        </is>
      </c>
      <c r="D143" s="15" t="inlineStr">
        <is>
          <t>公告/類別、標籤</t>
        </is>
      </c>
      <c r="E143" s="15" t="inlineStr">
        <is>
          <t>Announcement</t>
        </is>
      </c>
      <c r="F143" s="15" t="inlineStr">
        <is>
          <t>編輯任一類別名稱後該項目就會跑到第一個，下方列表順序就會亂掉，可否不亂跳？（CKEditor是依據建立Sn排序所以編輯後都不會亂掉）</t>
        </is>
      </c>
      <c r="G143" s="15" t="inlineStr">
        <is>
          <t>SSR/渲染</t>
        </is>
      </c>
      <c r="H143" s="15" t="inlineStr">
        <is>
          <t>低</t>
        </is>
      </c>
      <c r="I143" s="15" t="inlineStr">
        <is>
          <t>M</t>
        </is>
      </c>
      <c r="J143" s="15" t="n">
        <v>2</v>
      </c>
      <c r="K143" s="15" t="inlineStr">
        <is>
          <t>已完成</t>
        </is>
      </c>
      <c r="L143" s="15" t="inlineStr">
        <is>
          <t>複驗通過</t>
        </is>
      </c>
      <c r="M143" s="15" t="inlineStr">
        <is>
          <t>2026-05-27</t>
        </is>
      </c>
      <c r="N143" s="15" t="inlineStr">
        <is>
          <t>src/Features/Pages/Server/BizFunc/WEB/Announcement；src/Features/Pages/Client/BizFunc/WEB/Announcement</t>
        </is>
      </c>
      <c r="O143" s="15" t="inlineStr">
        <is>
          <t>修改後，請讓頁面重整，不要自行重整</t>
        </is>
      </c>
      <c r="P143" s="17" t="inlineStr">
        <is>
          <t>第十七批依本次 ZIP 複驗：Category 與 Tag 列表查詢皆固定 OrderBy CreateTime Desc，更新名稱後不會因 ModifyTime 改變而排到第一筆；列表 update 後 refetch 保持建立時間排序，符合不亂跳需求。</t>
        </is>
      </c>
      <c r="Q143" s="17" t="inlineStr">
        <is>
          <t>2026-05-27</t>
        </is>
      </c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8" t="n">
        <v>208</v>
      </c>
      <c r="B144" s="18" t="inlineStr">
        <is>
          <t>測試站後台問題表(wcms)</t>
        </is>
      </c>
      <c r="C144" s="18" t="inlineStr">
        <is>
          <t>149</t>
        </is>
      </c>
      <c r="D144" s="18" t="inlineStr">
        <is>
          <t>(研發處)
相簿上架日期</t>
        </is>
      </c>
      <c r="E144" s="18" t="inlineStr">
        <is>
          <t>Gallery</t>
        </is>
      </c>
      <c r="F144" s="18" t="inlineStr">
        <is>
          <t>日期選單和編輯器重疊了</t>
        </is>
      </c>
      <c r="G144" s="18" t="inlineStr">
        <is>
          <t>排序/狀態</t>
        </is>
      </c>
      <c r="H144" s="18" t="inlineStr">
        <is>
          <t>低</t>
        </is>
      </c>
      <c r="I144" s="18" t="inlineStr">
        <is>
          <t>M</t>
        </is>
      </c>
      <c r="J144" s="18" t="n">
        <v>2</v>
      </c>
      <c r="K144" s="18" t="inlineStr">
        <is>
          <t>已完成</t>
        </is>
      </c>
      <c r="L144" s="18" t="inlineStr">
        <is>
          <t>複驗通過</t>
        </is>
      </c>
      <c r="M144" s="18" t="inlineStr">
        <is>
          <t>2026-05-27</t>
        </is>
      </c>
      <c r="N144" s="18" t="inlineStr">
        <is>
          <t>src/Features/Pages/Server/BizFunc/WEB/Gallery；src/Features/Pages/Client/BizFunc/WEB/Gallery</t>
        </is>
      </c>
      <c r="O144" s="18" t="inlineStr">
        <is>
          <t>已完成可測試</t>
        </is>
      </c>
      <c r="P144" s="26" t="inlineStr">
        <is>
          <t>第十九批依本次完整 ZIP 重新複驗通過：src/SysCore/Components/FormField/FieldComponets/LibCalendar_Comp.tsx 已設定 DatePicker popperClassName="wcms-datepicker-popper"，並在 .react-datepicker-popper.wcms-datepicker-popper 設定 z-index: 9999；src/Features/Pages/Server/BizFunc/WEB/Gallery/Server_Gallery_Form_Comp.tsx 的上架日期使用 LibCalendar，語系內容區使用 LibTinyMCE。此修正可由程式碼明確判斷已避免日期選單被 TinyMCE 覆蓋，屬 UI z-index 修正；未見 API、TypeScript、SSR/CSR 或弱掃新增風險，AA 風險低。</t>
        </is>
      </c>
      <c r="Q144" s="26" t="inlineStr">
        <is>
          <t>2026-05-27</t>
        </is>
      </c>
      <c r="R144" s="26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5" t="n">
        <v>209</v>
      </c>
      <c r="B145" s="15" t="inlineStr">
        <is>
          <t>測試站後台問題表(wcms)</t>
        </is>
      </c>
      <c r="C145" s="15" t="inlineStr">
        <is>
          <t>109</t>
        </is>
      </c>
      <c r="D145" s="15" t="inlineStr">
        <is>
          <t>文字編輯器/圖片上傳</t>
        </is>
      </c>
      <c r="E145" s="15" t="inlineStr">
        <is>
          <t>Announcement</t>
        </is>
      </c>
      <c r="F145" s="15" t="inlineStr">
        <is>
          <t>圖片調整寬和高的後面有鎖起來時，Width有調整時、Height應同步調整，反之沒有鎖才會不同步</t>
        </is>
      </c>
      <c r="G145" s="15" t="inlineStr">
        <is>
          <t>檔案/媒體</t>
        </is>
      </c>
      <c r="H145" s="15" t="inlineStr">
        <is>
          <t>低</t>
        </is>
      </c>
      <c r="I145" s="15" t="inlineStr">
        <is>
          <t>L</t>
        </is>
      </c>
      <c r="J145" s="15" t="n">
        <v>6</v>
      </c>
      <c r="K145" s="15" t="inlineStr">
        <is>
          <t>待修</t>
        </is>
      </c>
      <c r="L145" s="15" t="inlineStr">
        <is>
          <t>未驗收</t>
        </is>
      </c>
      <c r="M145" s="15" t="n"/>
      <c r="N145" s="15" t="inlineStr">
        <is>
          <t>src/Features/Pages/Server/BizFunc/WEB/Announcement；src/Features/Pages/Client/BizFunc/WEB/Announcement</t>
        </is>
      </c>
      <c r="O145" s="15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8" t="n">
        <v>210</v>
      </c>
      <c r="B146" s="18" t="inlineStr">
        <is>
          <t>測試站後台問題表(wcms)</t>
        </is>
      </c>
      <c r="C146" s="18" t="inlineStr">
        <is>
          <t>116</t>
        </is>
      </c>
      <c r="D146" s="18" t="inlineStr">
        <is>
          <t>前台畫面</t>
        </is>
      </c>
      <c r="E146" s="18" t="inlineStr">
        <is>
          <t>SSR / Client_DataQueryTemplate</t>
        </is>
      </c>
      <c r="F146" s="18" t="inlineStr">
        <is>
          <t>於後台刪除子分類後，前台F5重整會原地變空白頁，可否導回首頁？</t>
        </is>
      </c>
      <c r="G146" s="18" t="inlineStr">
        <is>
          <t>SSR/渲染</t>
        </is>
      </c>
      <c r="H146" s="18" t="inlineStr">
        <is>
          <t>低</t>
        </is>
      </c>
      <c r="I146" s="18" t="inlineStr">
        <is>
          <t>L</t>
        </is>
      </c>
      <c r="J146" s="18" t="n">
        <v>6</v>
      </c>
      <c r="K146" s="18" t="inlineStr">
        <is>
          <t>待修</t>
        </is>
      </c>
      <c r="L146" s="18" t="inlineStr">
        <is>
          <t>未驗收</t>
        </is>
      </c>
      <c r="M146" s="18" t="n"/>
      <c r="N146" s="18" t="inlineStr">
        <is>
          <t>src/SSR；src/Features/Pages/Client/Scaffold/DataQueryTemplate</t>
        </is>
      </c>
      <c r="O146" s="18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5" t="n">
        <v>211</v>
      </c>
      <c r="B147" s="15" t="inlineStr">
        <is>
          <t>測試站後台問題表(wcms)</t>
        </is>
      </c>
      <c r="C147" s="15" t="inlineStr">
        <is>
          <t>121</t>
        </is>
      </c>
      <c r="D147" s="15" t="inlineStr">
        <is>
          <t>檔案室</t>
        </is>
      </c>
      <c r="E147" s="15" t="inlineStr">
        <is>
          <t>FileArchive / 檔案資源</t>
        </is>
      </c>
      <c r="F147" s="15" t="inlineStr">
        <is>
          <t>點選檔案可查看該檔案資訊內容，但英文頁籤的檔案出現bug</t>
        </is>
      </c>
      <c r="G147" s="15" t="inlineStr">
        <is>
          <t>檔案/媒體</t>
        </is>
      </c>
      <c r="H147" s="15" t="inlineStr">
        <is>
          <t>低</t>
        </is>
      </c>
      <c r="I147" s="15" t="inlineStr">
        <is>
          <t>L</t>
        </is>
      </c>
      <c r="J147" s="15" t="n">
        <v>6</v>
      </c>
      <c r="K147" s="15" t="inlineStr">
        <is>
          <t>已完成</t>
        </is>
      </c>
      <c r="L147" s="15" t="inlineStr">
        <is>
          <t>複驗通過</t>
        </is>
      </c>
      <c r="M147" s="15" t="inlineStr">
        <is>
          <t>2026-05-27</t>
        </is>
      </c>
      <c r="N147" s="15" t="inlineStr">
        <is>
          <t>src/Features/Pages/Server/BizFunc/WEB/FileArchive；src/Features/Pages/Client/BizFunc/WEB/FileArchive</t>
        </is>
      </c>
      <c r="O147" s="15" t="inlineStr">
        <is>
          <t>問題關聯#99
（英文版緩緩？）</t>
        </is>
      </c>
      <c r="P147" s="26" t="inlineStr">
        <is>
          <t>已依本次 ZIP 複驗：FileArchive 後台表單以 useEnsureLangDetails 補齊 zh-tw/en 語系明細，檔案列依 ParentRowId 綁定到各語系；前台 FileArchiveList 也依目前 lang 取得對應語系 FileArchiveInfo 的 RowId 再篩檔案，英文頁籤檔案對應問題程式層已修正。</t>
        </is>
      </c>
      <c r="Q147" s="26" t="inlineStr">
        <is>
          <t>2026-05-27</t>
        </is>
      </c>
      <c r="R147" s="26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8" t="n">
        <v>212</v>
      </c>
      <c r="B148" s="18" t="inlineStr">
        <is>
          <t>測試站後台問題表(wcms)</t>
        </is>
      </c>
      <c r="C148" s="18" t="inlineStr">
        <is>
          <t>12</t>
        </is>
      </c>
      <c r="D148" s="18" t="inlineStr">
        <is>
          <t>公告/編輯</t>
        </is>
      </c>
      <c r="E148" s="18" t="inlineStr">
        <is>
          <t>Announcement</t>
        </is>
      </c>
      <c r="F148" s="18" t="inlineStr">
        <is>
          <t>圖片是否可以點2下就跳出視窗？很常用在需替換圖片時使用，就不需先刪除再新增上傳（功能同CK Editor）</t>
        </is>
      </c>
      <c r="G148" s="18" t="inlineStr">
        <is>
          <t>檔案/媒體</t>
        </is>
      </c>
      <c r="H148" s="18" t="inlineStr">
        <is>
          <t>低</t>
        </is>
      </c>
      <c r="I148" s="18" t="inlineStr">
        <is>
          <t>L</t>
        </is>
      </c>
      <c r="J148" s="18" t="n">
        <v>6</v>
      </c>
      <c r="K148" s="18" t="inlineStr">
        <is>
          <t>待驗收</t>
        </is>
      </c>
      <c r="L148" s="18" t="inlineStr">
        <is>
          <t>待驗收</t>
        </is>
      </c>
      <c r="M148" s="18" t="n"/>
      <c r="N148" s="18" t="inlineStr">
        <is>
          <t>src/Features/Pages/Server/BizFunc/WEB/Announcement；src/Features/Pages/Client/BizFunc/WEB/Announcement</t>
        </is>
      </c>
      <c r="O148" s="18" t="inlineStr">
        <is>
          <t>已完成</t>
        </is>
      </c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5" t="n">
        <v>213</v>
      </c>
      <c r="B149" s="15" t="inlineStr">
        <is>
          <t>測試站後台問題表(wcms)</t>
        </is>
      </c>
      <c r="C149" s="15" t="inlineStr">
        <is>
          <t>17</t>
        </is>
      </c>
      <c r="D149" s="15" t="inlineStr">
        <is>
          <t>公告/新增、編輯</t>
        </is>
      </c>
      <c r="E149" s="15" t="inlineStr">
        <is>
          <t>Announcement</t>
        </is>
      </c>
      <c r="F149" s="15" t="inlineStr">
        <is>
          <t>iFrame是否可直接點2下就跳出視窗編輯設定？（功能同CK Editor）</t>
        </is>
      </c>
      <c r="G149" s="15" t="inlineStr">
        <is>
          <t>編輯器</t>
        </is>
      </c>
      <c r="H149" s="15" t="inlineStr">
        <is>
          <t>低</t>
        </is>
      </c>
      <c r="I149" s="15" t="inlineStr">
        <is>
          <t>L</t>
        </is>
      </c>
      <c r="J149" s="15" t="n">
        <v>6</v>
      </c>
      <c r="K149" s="15" t="inlineStr">
        <is>
          <t>待驗收</t>
        </is>
      </c>
      <c r="L149" s="15" t="inlineStr">
        <is>
          <t>待驗收</t>
        </is>
      </c>
      <c r="M149" s="15" t="n"/>
      <c r="N149" s="15" t="inlineStr">
        <is>
          <t>src/Features/Pages/Server/BizFunc/WEB/Announcement；src/Features/Pages/Client/BizFunc/WEB/Announcement</t>
        </is>
      </c>
      <c r="O149" s="15" t="inlineStr">
        <is>
          <t>已完成</t>
        </is>
      </c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8" t="n">
        <v>214</v>
      </c>
      <c r="B150" s="18" t="inlineStr">
        <is>
          <t>專案ZIP對標補漏</t>
        </is>
      </c>
      <c r="C150" s="18" t="inlineStr">
        <is>
          <t>ZIP-006</t>
        </is>
      </c>
      <c r="D150" s="18" t="inlineStr">
        <is>
          <t>GraphQL 中後期轉換預備</t>
        </is>
      </c>
      <c r="E150" s="18" t="inlineStr">
        <is>
          <t>GraphQL</t>
        </is>
      </c>
      <c r="F150" s="18" t="inlineStr">
        <is>
          <t>目前仍是 Restful API 初期架構，GraphQL 尚未看到實作，先列為中後期技術債，不影響短期驗收。</t>
        </is>
      </c>
      <c r="G150" s="18" t="inlineStr">
        <is>
          <t>架構收斂</t>
        </is>
      </c>
      <c r="H150" s="18" t="inlineStr">
        <is>
          <t>低</t>
        </is>
      </c>
      <c r="I150" s="18" t="inlineStr">
        <is>
          <t>XL</t>
        </is>
      </c>
      <c r="J150" s="18" t="n">
        <v>16</v>
      </c>
      <c r="K150" s="18" t="inlineStr">
        <is>
          <t>待規劃</t>
        </is>
      </c>
      <c r="L150" s="18" t="inlineStr">
        <is>
          <t>未驗收</t>
        </is>
      </c>
      <c r="M150" s="18" t="n"/>
      <c r="N150" s="18" t="inlineStr">
        <is>
          <t>目前Zip未掃到 GraphQL 實作</t>
        </is>
      </c>
      <c r="O150" s="18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5" t="n">
        <v>215</v>
      </c>
      <c r="B151" s="15" t="inlineStr">
        <is>
          <t>測試站後台問題表(wcms)</t>
        </is>
      </c>
      <c r="C151" s="15" t="inlineStr">
        <is>
          <t>64</t>
        </is>
      </c>
      <c r="D151" s="15" t="inlineStr">
        <is>
          <t>網站架構</t>
        </is>
      </c>
      <c r="E151" s="15" t="inlineStr">
        <is>
          <t>SiteMenu / Header</t>
        </is>
      </c>
      <c r="F151" s="15" t="inlineStr">
        <is>
          <t>點選編輯，僅查看的話按取消無法關閉視窗，是否需加上【關閉視窗】選項？</t>
        </is>
      </c>
      <c r="G151" s="15" t="inlineStr">
        <is>
          <t>功能/資料</t>
        </is>
      </c>
      <c r="H151" s="15" t="inlineStr">
        <is>
          <t>低</t>
        </is>
      </c>
      <c r="I151" s="15" t="inlineStr">
        <is>
          <t>XL</t>
        </is>
      </c>
      <c r="J151" s="15" t="n">
        <v>16</v>
      </c>
      <c r="K151" s="15" t="inlineStr">
        <is>
          <t>待規劃</t>
        </is>
      </c>
      <c r="L151" s="15" t="inlineStr">
        <is>
          <t>未驗收</t>
        </is>
      </c>
      <c r="M151" s="15" t="n"/>
      <c r="N151" s="15" t="inlineStr">
        <is>
          <t>src/Features/Pages/Server/BizFunc/WEB/SiteMenu；src/SpecFetures/*/Pages/Client/Scaffold/MainFrame/Header.tsx</t>
        </is>
      </c>
      <c r="O151" s="15" t="inlineStr">
        <is>
          <t>待規劃</t>
        </is>
      </c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conditionalFormatting sqref="H2:H151">
    <cfRule type="expression" priority="1" dxfId="4">
      <formula>$H2="緊急"</formula>
    </cfRule>
    <cfRule type="expression" priority="2" dxfId="5">
      <formula>$H2="高"</formula>
    </cfRule>
    <cfRule type="expression" priority="3" dxfId="6">
      <formula>$H2="中"</formula>
    </cfRule>
    <cfRule type="expression" priority="4" dxfId="7">
      <formula>$H2="低"</formula>
    </cfRule>
  </conditionalFormatting>
  <conditionalFormatting sqref="K2:K151">
    <cfRule type="expression" priority="5" dxfId="4">
      <formula>$K2="退回"</formula>
    </cfRule>
    <cfRule type="expression" priority="6" dxfId="5">
      <formula>$K2="待修"</formula>
    </cfRule>
    <cfRule type="expression" priority="7" dxfId="7">
      <formula>$K2="處理中"</formula>
    </cfRule>
    <cfRule type="expression" priority="8" dxfId="7">
      <formula>$K2="待規劃"</formula>
    </cfRule>
    <cfRule type="expression" priority="9" dxfId="7">
      <formula>$K2="待確認"</formula>
    </cfRule>
    <cfRule type="expression" priority="10" dxfId="8">
      <formula>$K2="待驗收"</formula>
    </cfRule>
    <cfRule type="expression" priority="11" dxfId="5">
      <formula>$K2="未驗收"</formula>
    </cfRule>
    <cfRule type="expression" priority="12" dxfId="7">
      <formula>$K2="已通過"</formula>
    </cfRule>
    <cfRule type="expression" priority="13" dxfId="7">
      <formula>$K2="通過"</formula>
    </cfRule>
    <cfRule type="expression" priority="14" dxfId="4">
      <formula>$K2="未通過"</formula>
    </cfRule>
  </conditionalFormatting>
  <conditionalFormatting sqref="L2:L151">
    <cfRule type="expression" priority="15" dxfId="4">
      <formula>$L2="退回"</formula>
    </cfRule>
    <cfRule type="expression" priority="16" dxfId="5">
      <formula>$L2="待修"</formula>
    </cfRule>
    <cfRule type="expression" priority="17" dxfId="7">
      <formula>$L2="處理中"</formula>
    </cfRule>
    <cfRule type="expression" priority="18" dxfId="7">
      <formula>$L2="待規劃"</formula>
    </cfRule>
    <cfRule type="expression" priority="19" dxfId="7">
      <formula>$L2="待確認"</formula>
    </cfRule>
    <cfRule type="expression" priority="20" dxfId="8">
      <formula>$L2="待驗收"</formula>
    </cfRule>
    <cfRule type="expression" priority="21" dxfId="5">
      <formula>$L2="未驗收"</formula>
    </cfRule>
    <cfRule type="expression" priority="22" dxfId="7">
      <formula>$L2="已通過"</formula>
    </cfRule>
    <cfRule type="expression" priority="23" dxfId="7">
      <formula>$L2="通過"</formula>
    </cfRule>
    <cfRule type="expression" priority="24" dxfId="4">
      <formula>$L2="未通過"</formula>
    </cfRule>
  </conditionalFormatting>
  <dataValidations count="4">
    <dataValidation sqref="H2:H151" showDropDown="0" showInputMessage="0" showErrorMessage="0" allowBlank="1" type="list">
      <formula1>'選單值'!$A$2:$A$5</formula1>
    </dataValidation>
    <dataValidation sqref="K2:K151" showDropDown="0" showInputMessage="0" showErrorMessage="0" allowBlank="1" type="list">
      <formula1>'選單值'!$C$2:$C$10</formula1>
    </dataValidation>
    <dataValidation sqref="I2:I151" showDropDown="0" showInputMessage="0" showErrorMessage="0" allowBlank="1" type="list">
      <formula1>'選單值'!$B$2:$B$5</formula1>
    </dataValidation>
    <dataValidation sqref="L2:L151" showDropDown="0" showInputMessage="0" showErrorMessage="0" allowBlank="1" type="list">
      <formula1>'選單值'!$D$2:$D$8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22" customWidth="1" style="21" min="2" max="3"/>
    <col width="12" customWidth="1" style="21" min="4" max="5"/>
    <col width="13" customWidth="1" style="21" min="6" max="6"/>
    <col width="12" customWidth="1" style="21" min="7" max="7"/>
    <col width="42" customWidth="1" style="21" min="8" max="10"/>
    <col width="12" customWidth="1" style="21" min="11" max="11"/>
    <col width="13" customWidth="1" style="21" min="12" max="12"/>
    <col width="42" customWidth="1" style="21" min="13" max="13"/>
    <col width="8.630000114440918" customWidth="1" style="21" min="14" max="16"/>
  </cols>
  <sheetData>
    <row r="1" ht="25.5" customHeight="1" s="21">
      <c r="A1" s="19" t="inlineStr">
        <is>
          <t>序號</t>
        </is>
      </c>
      <c r="B1" s="19" t="inlineStr">
        <is>
          <t>模組類別</t>
        </is>
      </c>
      <c r="C1" s="19" t="inlineStr">
        <is>
          <t>項目</t>
        </is>
      </c>
      <c r="D1" s="19" t="inlineStr">
        <is>
          <t>重要性</t>
        </is>
      </c>
      <c r="E1" s="19" t="inlineStr">
        <is>
          <t>規模</t>
        </is>
      </c>
      <c r="F1" s="19" t="inlineStr">
        <is>
          <t>預計花費時間(hr)</t>
        </is>
      </c>
      <c r="G1" s="19" t="inlineStr">
        <is>
          <t>狀態</t>
        </is>
      </c>
      <c r="H1" s="19" t="inlineStr">
        <is>
          <t>收斂目標</t>
        </is>
      </c>
      <c r="I1" s="19" t="inlineStr">
        <is>
          <t>目前原始碼依據</t>
        </is>
      </c>
      <c r="J1" s="19" t="inlineStr">
        <is>
          <t>白帽檢測重點</t>
        </is>
      </c>
      <c r="K1" s="19" t="inlineStr">
        <is>
          <t>結果</t>
        </is>
      </c>
      <c r="L1" s="19" t="inlineStr">
        <is>
          <t>完成日期</t>
        </is>
      </c>
      <c r="M1" s="19" t="inlineStr">
        <is>
          <t>備註</t>
        </is>
      </c>
      <c r="N1" s="12" t="inlineStr">
        <is>
          <t>複驗備註</t>
        </is>
      </c>
      <c r="O1" s="12" t="inlineStr">
        <is>
          <t>複驗日期</t>
        </is>
      </c>
      <c r="P1" s="12" t="inlineStr">
        <is>
          <t>退回原因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n">
        <v>1</v>
      </c>
      <c r="B2" s="20" t="inlineStr">
        <is>
          <t>稽核紀錄/監控</t>
        </is>
      </c>
      <c r="C2" s="20" t="inlineStr">
        <is>
          <t>操作日誌完整化</t>
        </is>
      </c>
      <c r="D2" s="20" t="inlineStr">
        <is>
          <t>高</t>
        </is>
      </c>
      <c r="E2" s="20" t="inlineStr">
        <is>
          <t>M</t>
        </is>
      </c>
      <c r="F2" s="20" t="n">
        <v>4</v>
      </c>
      <c r="G2" s="20" t="inlineStr">
        <is>
          <t>待修</t>
        </is>
      </c>
      <c r="H2" s="20" t="inlineStr">
        <is>
          <t>建立後台操作可追溯紀錄，包含使用者、IP、路徑、動作、耗時、結果。</t>
        </is>
      </c>
      <c r="I2" s="20" t="inlineStr">
        <is>
          <t>Backend: SysCore/Middleware/OperateLogMiddleware.cs、SysCore/OperateLog.cs、Program.cs 目前 middleware 註解。</t>
        </is>
      </c>
      <c r="J2" s="20" t="inlineStr">
        <is>
          <t>確認不記錄敏感資料、錯誤時不阻斷主流程、能關聯 requestId。</t>
        </is>
      </c>
      <c r="K2" s="20" t="inlineStr">
        <is>
          <t>未驗收</t>
        </is>
      </c>
      <c r="L2" s="20" t="n"/>
      <c r="M2" s="20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n">
        <v>2</v>
      </c>
      <c r="B3" s="20" t="inlineStr">
        <is>
          <t>稽核紀錄/監控</t>
        </is>
      </c>
      <c r="C3" s="20" t="inlineStr">
        <is>
          <t>操作日誌 Middleware 啟用與排除清單</t>
        </is>
      </c>
      <c r="D3" s="20" t="inlineStr">
        <is>
          <t>高</t>
        </is>
      </c>
      <c r="E3" s="20" t="inlineStr">
        <is>
          <t>S</t>
        </is>
      </c>
      <c r="F3" s="20" t="n">
        <v>2</v>
      </c>
      <c r="G3" s="20" t="inlineStr">
        <is>
          <t>待修</t>
        </is>
      </c>
      <c r="H3" s="20" t="inlineStr">
        <is>
          <t>正式啟用前先排除靜態檔、健康檢查、Swagger 等不必要路徑。</t>
        </is>
      </c>
      <c r="I3" s="20" t="inlineStr">
        <is>
          <t>Backend: Program.cs UseMiddleware&lt;OperateLogMiddleware&gt;() 目前註解。</t>
        </is>
      </c>
      <c r="J3" s="20" t="inlineStr">
        <is>
          <t>檢查是否造成效能負擔、是否誤記 token/cookie/body。</t>
        </is>
      </c>
      <c r="K3" s="20" t="inlineStr">
        <is>
          <t>未驗收</t>
        </is>
      </c>
      <c r="L3" s="20" t="n"/>
      <c r="M3" s="20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n">
        <v>3</v>
      </c>
      <c r="B4" s="20" t="inlineStr">
        <is>
          <t>稽核紀錄/監控</t>
        </is>
      </c>
      <c r="C4" s="20" t="inlineStr">
        <is>
          <t>登入/登出紀錄</t>
        </is>
      </c>
      <c r="D4" s="20" t="inlineStr">
        <is>
          <t>高</t>
        </is>
      </c>
      <c r="E4" s="20" t="inlineStr">
        <is>
          <t>M</t>
        </is>
      </c>
      <c r="F4" s="20" t="n">
        <v>4</v>
      </c>
      <c r="G4" s="20" t="inlineStr">
        <is>
          <t>待規劃</t>
        </is>
      </c>
      <c r="H4" s="20" t="inlineStr">
        <is>
          <t>記錄登入成功、登出、Token 更新、異常登出等事件。</t>
        </is>
      </c>
      <c r="I4" s="20" t="inlineStr">
        <is>
          <t>Backend: SysCore/TokenService.cs、Features/IAM。</t>
        </is>
      </c>
      <c r="J4" s="20" t="inlineStr">
        <is>
          <t>確認帳號列舉風險、登入紀錄不得保存密碼或 token 明文。</t>
        </is>
      </c>
      <c r="K4" s="20" t="inlineStr">
        <is>
          <t>未驗收</t>
        </is>
      </c>
      <c r="L4" s="20" t="n"/>
      <c r="M4" s="20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n">
        <v>4</v>
      </c>
      <c r="B5" s="20" t="inlineStr">
        <is>
          <t>稽核紀錄/監控</t>
        </is>
      </c>
      <c r="C5" s="20" t="inlineStr">
        <is>
          <t>登入失敗紀錄與鎖定策略</t>
        </is>
      </c>
      <c r="D5" s="20" t="inlineStr">
        <is>
          <t>高</t>
        </is>
      </c>
      <c r="E5" s="20" t="inlineStr">
        <is>
          <t>M</t>
        </is>
      </c>
      <c r="F5" s="20" t="n">
        <v>4</v>
      </c>
      <c r="G5" s="20" t="inlineStr">
        <is>
          <t>待規劃</t>
        </is>
      </c>
      <c r="H5" s="20" t="inlineStr">
        <is>
          <t>記錄登入失敗並提供防爆破策略。</t>
        </is>
      </c>
      <c r="I5" s="20" t="inlineStr">
        <is>
          <t>Backend: Program.cs 已引用 RateLimiting，但目前 app.UseRateLimiter 註解。</t>
        </is>
      </c>
      <c r="J5" s="20" t="inlineStr">
        <is>
          <t>測試暴力嘗試、帳號鎖定、IP 限流、錯誤訊息一致性。</t>
        </is>
      </c>
      <c r="K5" s="20" t="inlineStr">
        <is>
          <t>未驗收</t>
        </is>
      </c>
      <c r="L5" s="20" t="n"/>
      <c r="M5" s="20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>
        <v>5</v>
      </c>
      <c r="B6" s="20" t="inlineStr">
        <is>
          <t>稽核紀錄/監控</t>
        </is>
      </c>
      <c r="C6" s="20" t="inlineStr">
        <is>
          <t>後台資料異動紀錄</t>
        </is>
      </c>
      <c r="D6" s="20" t="inlineStr">
        <is>
          <t>高</t>
        </is>
      </c>
      <c r="E6" s="20" t="inlineStr">
        <is>
          <t>L</t>
        </is>
      </c>
      <c r="F6" s="20" t="n">
        <v>8</v>
      </c>
      <c r="G6" s="20" t="inlineStr">
        <is>
          <t>待規劃</t>
        </is>
      </c>
      <c r="H6" s="20" t="inlineStr">
        <is>
          <t>針對新增、修改、刪除、作廢建立 before/after 或重點欄位紀錄。</t>
        </is>
      </c>
      <c r="I6" s="20" t="inlineStr">
        <is>
          <t>Backend: BasicRepository.cs、BizService.cs、RecordComparison.cs。</t>
        </is>
      </c>
      <c r="J6" s="20" t="inlineStr">
        <is>
          <t>確認可追溯、敏感欄位遮罩、資料量可控。</t>
        </is>
      </c>
      <c r="K6" s="20" t="inlineStr">
        <is>
          <t>未驗收</t>
        </is>
      </c>
      <c r="L6" s="20" t="n"/>
      <c r="M6" s="20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0" t="n">
        <v>6</v>
      </c>
      <c r="B7" s="20" t="inlineStr">
        <is>
          <t>稽核紀錄/監控</t>
        </is>
      </c>
      <c r="C7" s="20" t="inlineStr">
        <is>
          <t>權限異動紀錄</t>
        </is>
      </c>
      <c r="D7" s="20" t="inlineStr">
        <is>
          <t>高</t>
        </is>
      </c>
      <c r="E7" s="20" t="inlineStr">
        <is>
          <t>M</t>
        </is>
      </c>
      <c r="F7" s="20" t="n">
        <v>4</v>
      </c>
      <c r="G7" s="20" t="inlineStr">
        <is>
          <t>待規劃</t>
        </is>
      </c>
      <c r="H7" s="20" t="inlineStr">
        <is>
          <t>帳號、角色、權限異動需能查到誰改了什麼。</t>
        </is>
      </c>
      <c r="I7" s="20" t="inlineStr">
        <is>
          <t>Backend: Features/IAM/RolePermission、LibPermissionChecker。</t>
        </is>
      </c>
      <c r="J7" s="20" t="inlineStr">
        <is>
          <t>確認權限提升、越權修改、異動紀錄不可被一般帳號刪改。</t>
        </is>
      </c>
      <c r="K7" s="20" t="inlineStr">
        <is>
          <t>未驗收</t>
        </is>
      </c>
      <c r="L7" s="20" t="n"/>
      <c r="M7" s="20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0" t="n">
        <v>7</v>
      </c>
      <c r="B8" s="20" t="inlineStr">
        <is>
          <t>稽核紀錄/監控</t>
        </is>
      </c>
      <c r="C8" s="20" t="inlineStr">
        <is>
          <t>檔案上傳/刪除/下載紀錄</t>
        </is>
      </c>
      <c r="D8" s="20" t="inlineStr">
        <is>
          <t>高</t>
        </is>
      </c>
      <c r="E8" s="20" t="inlineStr">
        <is>
          <t>M</t>
        </is>
      </c>
      <c r="F8" s="20" t="n">
        <v>4</v>
      </c>
      <c r="G8" s="20" t="inlineStr">
        <is>
          <t>待修</t>
        </is>
      </c>
      <c r="H8" s="20" t="inlineStr">
        <is>
          <t>檔案相關操作要可追溯，並支援下載次數統計。</t>
        </is>
      </c>
      <c r="I8" s="20" t="inlineStr">
        <is>
          <t>Backend/Frontend: FileManagement、FileArchive、useUploadFile.ts。</t>
        </is>
      </c>
      <c r="J8" s="20" t="inlineStr">
        <is>
          <t>檢查檔案路徑、下載權限、Content-Disposition、MIME。</t>
        </is>
      </c>
      <c r="K8" s="20" t="inlineStr">
        <is>
          <t>未驗收</t>
        </is>
      </c>
      <c r="L8" s="20" t="n"/>
      <c r="M8" s="20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0" t="n">
        <v>8</v>
      </c>
      <c r="B9" s="20" t="inlineStr">
        <is>
          <t>稽核紀錄/監控</t>
        </is>
      </c>
      <c r="C9" s="20" t="inlineStr">
        <is>
          <t>Exception Log 與 NLog 收斂</t>
        </is>
      </c>
      <c r="D9" s="20" t="inlineStr">
        <is>
          <t>高</t>
        </is>
      </c>
      <c r="E9" s="20" t="inlineStr">
        <is>
          <t>M</t>
        </is>
      </c>
      <c r="F9" s="20" t="n">
        <v>4</v>
      </c>
      <c r="G9" s="20" t="inlineStr">
        <is>
          <t>待修</t>
        </is>
      </c>
      <c r="H9" s="20" t="inlineStr">
        <is>
          <t>統一系統錯誤紀錄與回應格式。</t>
        </is>
      </c>
      <c r="I9" s="20" t="inlineStr">
        <is>
          <t>Backend: NLog.config、SysCore/Middleware/ErrorHandling.cs、ErrorHelper.cs。</t>
        </is>
      </c>
      <c r="J9" s="20" t="inlineStr">
        <is>
          <t>確認不外洩 stack trace、connection string、SQL、token。</t>
        </is>
      </c>
      <c r="K9" s="20" t="inlineStr">
        <is>
          <t>未驗收</t>
        </is>
      </c>
      <c r="L9" s="20" t="n"/>
      <c r="M9" s="20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>
        <v>9</v>
      </c>
      <c r="B10" s="20" t="inlineStr">
        <is>
          <t>稽核紀錄/監控</t>
        </is>
      </c>
      <c r="C10" s="20" t="inlineStr">
        <is>
          <t>安全事件紀錄</t>
        </is>
      </c>
      <c r="D10" s="20" t="inlineStr">
        <is>
          <t>高</t>
        </is>
      </c>
      <c r="E10" s="20" t="inlineStr">
        <is>
          <t>M</t>
        </is>
      </c>
      <c r="F10" s="20" t="n">
        <v>4</v>
      </c>
      <c r="G10" s="20" t="inlineStr">
        <is>
          <t>待規劃</t>
        </is>
      </c>
      <c r="H10" s="20" t="inlineStr">
        <is>
          <t>建立登入失敗、越權、上傳阻擋、RateLimit 等事件紀錄。</t>
        </is>
      </c>
      <c r="I10" s="20" t="inlineStr">
        <is>
          <t>Backend: SecuritySetup.cs、ErrorHandling.cs、OperateLogMiddleware.cs。</t>
        </is>
      </c>
      <c r="J10" s="20" t="inlineStr">
        <is>
          <t>確認事件可查詢、可統計、可支援弱掃與稽核。</t>
        </is>
      </c>
      <c r="K10" s="20" t="inlineStr">
        <is>
          <t>未驗收</t>
        </is>
      </c>
      <c r="L10" s="20" t="n"/>
      <c r="M10" s="20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20" t="n">
        <v>10</v>
      </c>
      <c r="B11" s="20" t="inlineStr">
        <is>
          <t>稽核紀錄/監控</t>
        </is>
      </c>
      <c r="C11" s="20" t="inlineStr">
        <is>
          <t>API 存取紀錄與 TraceId</t>
        </is>
      </c>
      <c r="D11" s="20" t="inlineStr">
        <is>
          <t>中</t>
        </is>
      </c>
      <c r="E11" s="20" t="inlineStr">
        <is>
          <t>M</t>
        </is>
      </c>
      <c r="F11" s="20" t="n">
        <v>4</v>
      </c>
      <c r="G11" s="20" t="inlineStr">
        <is>
          <t>待規劃</t>
        </is>
      </c>
      <c r="H11" s="20" t="inlineStr">
        <is>
          <t>讓前後端錯誤可以透過 TraceId 對應。</t>
        </is>
      </c>
      <c r="I11" s="20" t="inlineStr">
        <is>
          <t>Backend: ErrorHandling.cs；Frontend: APIClient / fetch hooks。</t>
        </is>
      </c>
      <c r="J11" s="20" t="inlineStr">
        <is>
          <t>確認前端錯誤不暴露內部訊息，TraceId 可回報。</t>
        </is>
      </c>
      <c r="K11" s="20" t="inlineStr">
        <is>
          <t>未驗收</t>
        </is>
      </c>
      <c r="L11" s="20" t="n"/>
      <c r="M11" s="20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20" t="n">
        <v>11</v>
      </c>
      <c r="B12" s="20" t="inlineStr">
        <is>
          <t>認證/授權</t>
        </is>
      </c>
      <c r="C12" s="20" t="inlineStr">
        <is>
          <t>JWT 黑名單與登出撤銷</t>
        </is>
      </c>
      <c r="D12" s="20" t="inlineStr">
        <is>
          <t>高</t>
        </is>
      </c>
      <c r="E12" s="20" t="inlineStr">
        <is>
          <t>M</t>
        </is>
      </c>
      <c r="F12" s="20" t="n">
        <v>4</v>
      </c>
      <c r="G12" s="20" t="inlineStr">
        <is>
          <t>待修</t>
        </is>
      </c>
      <c r="H12" s="20" t="inlineStr">
        <is>
          <t>登出或權限變更後能讓 token 失效。</t>
        </is>
      </c>
      <c r="I12" s="20" t="inlineStr">
        <is>
          <t>Backend: TokenService.cs、Program.cs AddMemoryCache、Redis 註解。</t>
        </is>
      </c>
      <c r="J12" s="20" t="inlineStr">
        <is>
          <t>測試舊 token 是否仍可存取後台 API。</t>
        </is>
      </c>
      <c r="K12" s="20" t="inlineStr">
        <is>
          <t>未驗收</t>
        </is>
      </c>
      <c r="L12" s="20" t="n"/>
      <c r="M12" s="20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20" t="n">
        <v>12</v>
      </c>
      <c r="B13" s="20" t="inlineStr">
        <is>
          <t>認證/授權</t>
        </is>
      </c>
      <c r="C13" s="20" t="inlineStr">
        <is>
          <t>Refresh Token 輪替與保存策略</t>
        </is>
      </c>
      <c r="D13" s="20" t="inlineStr">
        <is>
          <t>高</t>
        </is>
      </c>
      <c r="E13" s="20" t="inlineStr">
        <is>
          <t>M</t>
        </is>
      </c>
      <c r="F13" s="20" t="n">
        <v>6</v>
      </c>
      <c r="G13" s="20" t="inlineStr">
        <is>
          <t>待規劃</t>
        </is>
      </c>
      <c r="H13" s="20" t="inlineStr">
        <is>
          <t>避免 refresh token 重放與長期有效風險。</t>
        </is>
      </c>
      <c r="I13" s="20" t="inlineStr">
        <is>
          <t>Backend: appsettings Jwt RefreshTokenDays、TokenService.cs。</t>
        </is>
      </c>
      <c r="J13" s="20" t="inlineStr">
        <is>
          <t>檢查 refresh token 是否雜湊保存、是否可撤銷。</t>
        </is>
      </c>
      <c r="K13" s="20" t="inlineStr">
        <is>
          <t>未驗收</t>
        </is>
      </c>
      <c r="L13" s="20" t="n"/>
      <c r="M13" s="20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20" t="n">
        <v>13</v>
      </c>
      <c r="B14" s="20" t="inlineStr">
        <is>
          <t>認證/授權</t>
        </is>
      </c>
      <c r="C14" s="20" t="inlineStr">
        <is>
          <t>RolePermission 實際套用檢核</t>
        </is>
      </c>
      <c r="D14" s="20" t="inlineStr">
        <is>
          <t>高</t>
        </is>
      </c>
      <c r="E14" s="20" t="inlineStr">
        <is>
          <t>L</t>
        </is>
      </c>
      <c r="F14" s="20" t="n">
        <v>8</v>
      </c>
      <c r="G14" s="20" t="inlineStr">
        <is>
          <t>待修</t>
        </is>
      </c>
      <c r="H14" s="20" t="inlineStr">
        <is>
          <t>確認所有後台 API 都有授權檢核。</t>
        </is>
      </c>
      <c r="I14" s="20" t="inlineStr">
        <is>
          <t>Backend: Features/IAM/RolePermission、SpecApiAccessFilter.cs、LibPermissionChecker。</t>
        </is>
      </c>
      <c r="J14" s="20" t="inlineStr">
        <is>
          <t>測試直接呼叫 API 是否可越權、IDOR。</t>
        </is>
      </c>
      <c r="K14" s="20" t="inlineStr">
        <is>
          <t>未驗收</t>
        </is>
      </c>
      <c r="L14" s="20" t="n"/>
      <c r="M14" s="20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20" t="n">
        <v>14</v>
      </c>
      <c r="B15" s="20" t="inlineStr">
        <is>
          <t>認證/授權</t>
        </is>
      </c>
      <c r="C15" s="20" t="inlineStr">
        <is>
          <t>前台/後台 API 權限切分</t>
        </is>
      </c>
      <c r="D15" s="20" t="inlineStr">
        <is>
          <t>高</t>
        </is>
      </c>
      <c r="E15" s="20" t="inlineStr">
        <is>
          <t>L</t>
        </is>
      </c>
      <c r="F15" s="20" t="n">
        <v>8</v>
      </c>
      <c r="G15" s="20" t="inlineStr">
        <is>
          <t>待修</t>
        </is>
      </c>
      <c r="H15" s="20" t="inlineStr">
        <is>
          <t>前台公開 API 與後台管理 API 分清楚。</t>
        </is>
      </c>
      <c r="I15" s="20" t="inlineStr">
        <is>
          <t>Backend: ApiDataController.cs、Service/* routes；Frontend: APIClient。</t>
        </is>
      </c>
      <c r="J15" s="20" t="inlineStr">
        <is>
          <t>檢查匿名使用者是否可打到管理用途 API。</t>
        </is>
      </c>
      <c r="K15" s="20" t="inlineStr">
        <is>
          <t>未驗收</t>
        </is>
      </c>
      <c r="L15" s="20" t="n"/>
      <c r="M15" s="20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20" t="n">
        <v>15</v>
      </c>
      <c r="B16" s="20" t="inlineStr">
        <is>
          <t>認證/授權</t>
        </is>
      </c>
      <c r="C16" s="20" t="inlineStr">
        <is>
          <t>Swagger 正式環境暴露控管</t>
        </is>
      </c>
      <c r="D16" s="20" t="inlineStr">
        <is>
          <t>高</t>
        </is>
      </c>
      <c r="E16" s="20" t="inlineStr">
        <is>
          <t>S</t>
        </is>
      </c>
      <c r="F16" s="20" t="n">
        <v>2</v>
      </c>
      <c r="G16" s="20" t="inlineStr">
        <is>
          <t>待確認</t>
        </is>
      </c>
      <c r="H16" s="20" t="inlineStr">
        <is>
          <t>正式站限制 Swagger 或至少加保護。</t>
        </is>
      </c>
      <c r="I16" s="20" t="inlineStr">
        <is>
          <t>Backend: Program.cs swagger path handling。</t>
        </is>
      </c>
      <c r="J16" s="20" t="inlineStr">
        <is>
          <t>確認 production 是否能未授權看到 API schema。</t>
        </is>
      </c>
      <c r="K16" s="20" t="inlineStr">
        <is>
          <t>未驗收</t>
        </is>
      </c>
      <c r="L16" s="20" t="n"/>
      <c r="M16" s="20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20" t="n">
        <v>16</v>
      </c>
      <c r="B17" s="20" t="inlineStr">
        <is>
          <t>認證/授權</t>
        </is>
      </c>
      <c r="C17" s="20" t="inlineStr">
        <is>
          <t>Rate Limit 與登入防爆破</t>
        </is>
      </c>
      <c r="D17" s="20" t="inlineStr">
        <is>
          <t>高</t>
        </is>
      </c>
      <c r="E17" s="20" t="inlineStr">
        <is>
          <t>M</t>
        </is>
      </c>
      <c r="F17" s="20" t="n">
        <v>4</v>
      </c>
      <c r="G17" s="20" t="inlineStr">
        <is>
          <t>待修</t>
        </is>
      </c>
      <c r="H17" s="20" t="inlineStr">
        <is>
          <t>登入、上傳、搜尋等高風險 API 加入限制。</t>
        </is>
      </c>
      <c r="I17" s="20" t="inlineStr">
        <is>
          <t>Backend: Program.cs AddRateLimit / UseRateLimiter 目前註解。</t>
        </is>
      </c>
      <c r="J17" s="20" t="inlineStr">
        <is>
          <t>測試大量請求與登入嘗試是否被阻擋。</t>
        </is>
      </c>
      <c r="K17" s="20" t="inlineStr">
        <is>
          <t>未驗收</t>
        </is>
      </c>
      <c r="L17" s="20" t="n"/>
      <c r="M17" s="20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20" t="n">
        <v>17</v>
      </c>
      <c r="B18" s="20" t="inlineStr">
        <is>
          <t>認證/授權</t>
        </is>
      </c>
      <c r="C18" s="20" t="inlineStr">
        <is>
          <t>密碼政策與帳號鎖定</t>
        </is>
      </c>
      <c r="D18" s="20" t="inlineStr">
        <is>
          <t>高</t>
        </is>
      </c>
      <c r="E18" s="20" t="inlineStr">
        <is>
          <t>M</t>
        </is>
      </c>
      <c r="F18" s="20" t="n">
        <v>4</v>
      </c>
      <c r="G18" s="20" t="inlineStr">
        <is>
          <t>待規劃</t>
        </is>
      </c>
      <c r="H18" s="20" t="inlineStr">
        <is>
          <t>帳號管理需有基本密碼強度、停用、鎖定。</t>
        </is>
      </c>
      <c r="I18" s="20" t="inlineStr">
        <is>
          <t>Backend: Features/IAM/Account；Frontend: Server Account form。</t>
        </is>
      </c>
      <c r="J18" s="20" t="inlineStr">
        <is>
          <t>檢查弱密碼、預設密碼、錯誤訊息、重設流程。</t>
        </is>
      </c>
      <c r="K18" s="20" t="inlineStr">
        <is>
          <t>未驗收</t>
        </is>
      </c>
      <c r="L18" s="20" t="n"/>
      <c r="M18" s="20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20" t="n">
        <v>18</v>
      </c>
      <c r="B19" s="20" t="inlineStr">
        <is>
          <t>認證/授權</t>
        </is>
      </c>
      <c r="C19" s="20" t="inlineStr">
        <is>
          <t>CSRF 與 Cookie/JWT 使用策略確認</t>
        </is>
      </c>
      <c r="D19" s="20" t="inlineStr">
        <is>
          <t>高</t>
        </is>
      </c>
      <c r="E19" s="20" t="inlineStr">
        <is>
          <t>M</t>
        </is>
      </c>
      <c r="F19" s="20" t="n">
        <v>4</v>
      </c>
      <c r="G19" s="20" t="inlineStr">
        <is>
          <t>待確認</t>
        </is>
      </c>
      <c r="H19" s="20" t="inlineStr">
        <is>
          <t>確認 token 存放與 credentials include 是否符合安全設計。</t>
        </is>
      </c>
      <c r="I19" s="20" t="inlineStr">
        <is>
          <t>Frontend: useUploadFile.ts credentials include；Backend: JWT setup。</t>
        </is>
      </c>
      <c r="J19" s="20" t="inlineStr">
        <is>
          <t>若使用 Cookie，需確認 SameSite、HttpOnly、CSRF 防護。</t>
        </is>
      </c>
      <c r="K19" s="20" t="inlineStr">
        <is>
          <t>未驗收</t>
        </is>
      </c>
      <c r="L19" s="20" t="n"/>
      <c r="M19" s="20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20" t="n">
        <v>19</v>
      </c>
      <c r="B20" s="20" t="inlineStr">
        <is>
          <t>安全標頭/前端安全</t>
        </is>
      </c>
      <c r="C20" s="20" t="inlineStr">
        <is>
          <t>CSP / Trusted Types / TinyMCE 白名單收斂</t>
        </is>
      </c>
      <c r="D20" s="20" t="inlineStr">
        <is>
          <t>高</t>
        </is>
      </c>
      <c r="E20" s="20" t="inlineStr">
        <is>
          <t>M</t>
        </is>
      </c>
      <c r="F20" s="20" t="n">
        <v>4</v>
      </c>
      <c r="G20" s="20" t="inlineStr">
        <is>
          <t>待修</t>
        </is>
      </c>
      <c r="H20" s="20" t="inlineStr">
        <is>
          <t>弱掃通過且 TinyMCE 正常使用。</t>
        </is>
      </c>
      <c r="I20" s="20" t="inlineStr">
        <is>
          <t>Frontend: src/SSR/CSPSetting.ts、TrustedTypesPolicy、public/tinymce。</t>
        </is>
      </c>
      <c r="J20" s="20" t="inlineStr">
        <is>
          <t>確認 unsafe-inline、script-src、iframe-src、style-src 風險。</t>
        </is>
      </c>
      <c r="K20" s="20" t="inlineStr">
        <is>
          <t>未驗收</t>
        </is>
      </c>
      <c r="L20" s="20" t="n"/>
      <c r="M20" s="20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20" t="n">
        <v>20</v>
      </c>
      <c r="B21" s="20" t="inlineStr">
        <is>
          <t>安全標頭/前端安全</t>
        </is>
      </c>
      <c r="C21" s="20" t="inlineStr">
        <is>
          <t>SSR Hydration State 安全輸出</t>
        </is>
      </c>
      <c r="D21" s="20" t="inlineStr">
        <is>
          <t>高</t>
        </is>
      </c>
      <c r="E21" s="20" t="inlineStr">
        <is>
          <t>M</t>
        </is>
      </c>
      <c r="F21" s="20" t="n">
        <v>4</v>
      </c>
      <c r="G21" s="20" t="inlineStr">
        <is>
          <t>待修</t>
        </is>
      </c>
      <c r="H21" s="20" t="inlineStr">
        <is>
          <t>SSR/CSR 資料一致且不使用危險 inline script。</t>
        </is>
      </c>
      <c r="I21" s="20" t="inlineStr">
        <is>
          <t>Frontend: Entry-Client.tsx、Entry-Server.tsx、SSR-Server.ts。</t>
        </is>
      </c>
      <c r="J21" s="20" t="inlineStr">
        <is>
          <t>檢查 XSS、JSON escape、hydrationData 外洩。</t>
        </is>
      </c>
      <c r="K21" s="20" t="inlineStr">
        <is>
          <t>未驗收</t>
        </is>
      </c>
      <c r="L21" s="20" t="n"/>
      <c r="M21" s="20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20" t="n">
        <v>21</v>
      </c>
      <c r="B22" s="20" t="inlineStr">
        <is>
          <t>安全標頭/前端安全</t>
        </is>
      </c>
      <c r="C22" s="20" t="inlineStr">
        <is>
          <t>HTML 內容顯示與 XSS 防護</t>
        </is>
      </c>
      <c r="D22" s="20" t="inlineStr">
        <is>
          <t>高</t>
        </is>
      </c>
      <c r="E22" s="20" t="inlineStr">
        <is>
          <t>L</t>
        </is>
      </c>
      <c r="F22" s="20" t="n">
        <v>8</v>
      </c>
      <c r="G22" s="20" t="inlineStr">
        <is>
          <t>待修</t>
        </is>
      </c>
      <c r="H22" s="20" t="inlineStr">
        <is>
          <t>所有 CMS HTML 顯示位置需統一淨化與安全渲染。</t>
        </is>
      </c>
      <c r="I22" s="20" t="inlineStr">
        <is>
          <t>Frontend: CmsHtml_Comp、TinyMCE content；Backend: Page/Announcement content。</t>
        </is>
      </c>
      <c r="J22" s="20" t="inlineStr">
        <is>
          <t>搜尋 dangerouslySetInnerHTML、innerHTML、HTML 插入點。</t>
        </is>
      </c>
      <c r="K22" s="20" t="inlineStr">
        <is>
          <t>未驗收</t>
        </is>
      </c>
      <c r="L22" s="20" t="n"/>
      <c r="M22" s="20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20" t="n">
        <v>22</v>
      </c>
      <c r="B23" s="20" t="inlineStr">
        <is>
          <t>安全標頭/前端安全</t>
        </is>
      </c>
      <c r="C23" s="20" t="inlineStr">
        <is>
          <t>外部連結與 Open Redirect 檢核</t>
        </is>
      </c>
      <c r="D23" s="20" t="inlineStr">
        <is>
          <t>高</t>
        </is>
      </c>
      <c r="E23" s="20" t="inlineStr">
        <is>
          <t>M</t>
        </is>
      </c>
      <c r="F23" s="20" t="n">
        <v>4</v>
      </c>
      <c r="G23" s="20" t="inlineStr">
        <is>
          <t>待修</t>
        </is>
      </c>
      <c r="H23" s="20" t="inlineStr">
        <is>
          <t>外網連結需另開且避免可控跳轉造成釣魚。</t>
        </is>
      </c>
      <c r="I23" s="20" t="inlineStr">
        <is>
          <t>Frontend: Menu、WebResource、Announcement link handling。</t>
        </is>
      </c>
      <c r="J23" s="20" t="inlineStr">
        <is>
          <t>檢查 target=_blank 是否有 rel，跳轉頁是否可被濫用。</t>
        </is>
      </c>
      <c r="K23" s="20" t="inlineStr">
        <is>
          <t>未驗收</t>
        </is>
      </c>
      <c r="L23" s="20" t="n"/>
      <c r="M23" s="20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20" t="n">
        <v>23</v>
      </c>
      <c r="B24" s="20" t="inlineStr">
        <is>
          <t>安全標頭/前端安全</t>
        </is>
      </c>
      <c r="C24" s="20" t="inlineStr">
        <is>
          <t>iFrame / YouTube / Google Map 安全規則</t>
        </is>
      </c>
      <c r="D24" s="20" t="inlineStr">
        <is>
          <t>高</t>
        </is>
      </c>
      <c r="E24" s="20" t="inlineStr">
        <is>
          <t>M</t>
        </is>
      </c>
      <c r="F24" s="20" t="n">
        <v>4</v>
      </c>
      <c r="G24" s="20" t="inlineStr">
        <is>
          <t>待規劃</t>
        </is>
      </c>
      <c r="H24" s="20" t="inlineStr">
        <is>
          <t>iframe 需 allowlist、sandbox 與 CSP 配合。</t>
        </is>
      </c>
      <c r="I24" s="20" t="inlineStr">
        <is>
          <t>Frontend: TinyMCE iframe handling；Backend content storage。</t>
        </is>
      </c>
      <c r="J24" s="20" t="inlineStr">
        <is>
          <t>檢查任意 iframe、惡意 src、sandbox 缺漏。</t>
        </is>
      </c>
      <c r="K24" s="20" t="inlineStr">
        <is>
          <t>未驗收</t>
        </is>
      </c>
      <c r="L24" s="20" t="n"/>
      <c r="M24" s="20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20" t="n">
        <v>24</v>
      </c>
      <c r="B25" s="20" t="inlineStr">
        <is>
          <t>安全標頭/前端安全</t>
        </is>
      </c>
      <c r="C25" s="20" t="inlineStr">
        <is>
          <t>CORS / HSTS / Security Headers 回歸</t>
        </is>
      </c>
      <c r="D25" s="20" t="inlineStr">
        <is>
          <t>高</t>
        </is>
      </c>
      <c r="E25" s="20" t="inlineStr">
        <is>
          <t>S</t>
        </is>
      </c>
      <c r="F25" s="20" t="n">
        <v>2</v>
      </c>
      <c r="G25" s="20" t="inlineStr">
        <is>
          <t>待修</t>
        </is>
      </c>
      <c r="H25" s="20" t="inlineStr">
        <is>
          <t>維持弱掃安全標頭 All Clear。</t>
        </is>
      </c>
      <c r="I25" s="20" t="inlineStr">
        <is>
          <t>Backend: SecuritySetup.cs、web.config；Frontend: web.config、CSPSetting.ts。</t>
        </is>
      </c>
      <c r="J25" s="20" t="inlineStr">
        <is>
          <t>檢查 HSTS、X-Content-Type-Options、Frame、Referrer、Permissions。</t>
        </is>
      </c>
      <c r="K25" s="20" t="inlineStr">
        <is>
          <t>未驗收</t>
        </is>
      </c>
      <c r="L25" s="20" t="n"/>
      <c r="M25" s="20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20" t="n">
        <v>25</v>
      </c>
      <c r="B26" s="20" t="inlineStr">
        <is>
          <t>檔案安全</t>
        </is>
      </c>
      <c r="C26" s="20" t="inlineStr">
        <is>
          <t>檔案上傳副檔名/MIME/大小限制</t>
        </is>
      </c>
      <c r="D26" s="20" t="inlineStr">
        <is>
          <t>高</t>
        </is>
      </c>
      <c r="E26" s="20" t="inlineStr">
        <is>
          <t>M</t>
        </is>
      </c>
      <c r="F26" s="20" t="n">
        <v>4</v>
      </c>
      <c r="G26" s="20" t="inlineStr">
        <is>
          <t>待修</t>
        </is>
      </c>
      <c r="H26" s="20" t="inlineStr">
        <is>
          <t>符合 AA ODF 支援與安全限制。</t>
        </is>
      </c>
      <c r="I26" s="20" t="inlineStr">
        <is>
          <t>Backend: FileManagement；Frontend: useUploadFile.ts。</t>
        </is>
      </c>
      <c r="J26" s="20" t="inlineStr">
        <is>
          <t>測試副檔名偽裝、雙副檔名、超大檔、SVG/HTML 上傳。</t>
        </is>
      </c>
      <c r="K26" s="20" t="inlineStr">
        <is>
          <t>未驗收</t>
        </is>
      </c>
      <c r="L26" s="20" t="n"/>
      <c r="M26" s="20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20" t="n">
        <v>26</v>
      </c>
      <c r="B27" s="20" t="inlineStr">
        <is>
          <t>檔案安全</t>
        </is>
      </c>
      <c r="C27" s="20" t="inlineStr">
        <is>
          <t>檔案預覽/下載 Path Traversal 檢核</t>
        </is>
      </c>
      <c r="D27" s="20" t="inlineStr">
        <is>
          <t>高</t>
        </is>
      </c>
      <c r="E27" s="20" t="inlineStr">
        <is>
          <t>M</t>
        </is>
      </c>
      <c r="F27" s="20" t="n">
        <v>4</v>
      </c>
      <c r="G27" s="20" t="inlineStr">
        <is>
          <t>待修</t>
        </is>
      </c>
      <c r="H27" s="20" t="inlineStr">
        <is>
          <t>所有檔案讀取不得跳出 FileManage 根目錄。</t>
        </is>
      </c>
      <c r="I27" s="20" t="inlineStr">
        <is>
          <t>Backend: FilePaths Root、Path.Combine/GetFullPath、FileManagement。</t>
        </is>
      </c>
      <c r="J27" s="20" t="inlineStr">
        <is>
          <t>測試 ../、URL encoded path、internalId 猜測。</t>
        </is>
      </c>
      <c r="K27" s="20" t="inlineStr">
        <is>
          <t>未驗收</t>
        </is>
      </c>
      <c r="L27" s="20" t="n"/>
      <c r="M27" s="20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20" t="n">
        <v>27</v>
      </c>
      <c r="B28" s="20" t="inlineStr">
        <is>
          <t>檔案安全</t>
        </is>
      </c>
      <c r="C28" s="20" t="inlineStr">
        <is>
          <t>下載檔名與 Content-Disposition 標準化</t>
        </is>
      </c>
      <c r="D28" s="20" t="inlineStr">
        <is>
          <t>中</t>
        </is>
      </c>
      <c r="E28" s="20" t="inlineStr">
        <is>
          <t>S</t>
        </is>
      </c>
      <c r="F28" s="20" t="n">
        <v>2</v>
      </c>
      <c r="G28" s="20" t="inlineStr">
        <is>
          <t>待修</t>
        </is>
      </c>
      <c r="H28" s="20" t="inlineStr">
        <is>
          <t>下載/預覽顯示正確檔名與 title。</t>
        </is>
      </c>
      <c r="I28" s="20" t="inlineStr">
        <is>
          <t>Backend: FileArchive/FileManagement；Frontend: FileArchive list/detail。</t>
        </is>
      </c>
      <c r="J28" s="20" t="inlineStr">
        <is>
          <t>檢查檔名注入、header injection、中文檔名。</t>
        </is>
      </c>
      <c r="K28" s="20" t="inlineStr">
        <is>
          <t>未驗收</t>
        </is>
      </c>
      <c r="L28" s="20" t="n"/>
      <c r="M28" s="20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20" t="n">
        <v>28</v>
      </c>
      <c r="B29" s="20" t="inlineStr">
        <is>
          <t>檔案安全</t>
        </is>
      </c>
      <c r="C29" s="20" t="inlineStr">
        <is>
          <t>OpenDocument 格式上傳回歸</t>
        </is>
      </c>
      <c r="D29" s="20" t="inlineStr">
        <is>
          <t>高</t>
        </is>
      </c>
      <c r="E29" s="20" t="inlineStr">
        <is>
          <t>S</t>
        </is>
      </c>
      <c r="F29" s="20" t="n">
        <v>2</v>
      </c>
      <c r="G29" s="20" t="inlineStr">
        <is>
          <t>待修</t>
        </is>
      </c>
      <c r="H29" s="20" t="inlineStr">
        <is>
          <t>ODT/ODS/ODP 等 AA 需求檔案可正常上傳與下載。</t>
        </is>
      </c>
      <c r="I29" s="20" t="inlineStr">
        <is>
          <t>Backend: FileManagement MIME map；Frontend file input。</t>
        </is>
      </c>
      <c r="J29" s="20" t="inlineStr">
        <is>
          <t>確認只開必要格式，不放寬到危險類型。</t>
        </is>
      </c>
      <c r="K29" s="20" t="inlineStr">
        <is>
          <t>未驗收</t>
        </is>
      </c>
      <c r="L29" s="20" t="n"/>
      <c r="M29" s="20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20" t="n">
        <v>29</v>
      </c>
      <c r="B30" s="20" t="inlineStr">
        <is>
          <t>資料查詢/注入</t>
        </is>
      </c>
      <c r="C30" s="20" t="inlineStr">
        <is>
          <t>動態查詢 Filter/Order SQL Injection 檢核</t>
        </is>
      </c>
      <c r="D30" s="20" t="inlineStr">
        <is>
          <t>高</t>
        </is>
      </c>
      <c r="E30" s="20" t="inlineStr">
        <is>
          <t>M</t>
        </is>
      </c>
      <c r="F30" s="20" t="n">
        <v>4</v>
      </c>
      <c r="G30" s="20" t="inlineStr">
        <is>
          <t>待修</t>
        </is>
      </c>
      <c r="H30" s="20" t="inlineStr">
        <is>
          <t>動態欄位排序與搜尋需白名單化。</t>
        </is>
      </c>
      <c r="I30" s="20" t="inlineStr">
        <is>
          <t>Backend: BasicRepository.cs、BizService.cs、DTOSetMapper。</t>
        </is>
      </c>
      <c r="J30" s="20" t="inlineStr">
        <is>
          <t>檢查 FromSql/ExecuteSql/動態排序欄位是否可注入。</t>
        </is>
      </c>
      <c r="K30" s="20" t="inlineStr">
        <is>
          <t>未驗收</t>
        </is>
      </c>
      <c r="L30" s="20" t="n"/>
      <c r="M30" s="20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20" t="n">
        <v>30</v>
      </c>
      <c r="B31" s="20" t="inlineStr">
        <is>
          <t>資料查詢/注入</t>
        </is>
      </c>
      <c r="C31" s="20" t="inlineStr">
        <is>
          <t>Raw SQL / UDF 部署檢核</t>
        </is>
      </c>
      <c r="D31" s="20" t="inlineStr">
        <is>
          <t>中</t>
        </is>
      </c>
      <c r="E31" s="20" t="inlineStr">
        <is>
          <t>S</t>
        </is>
      </c>
      <c r="F31" s="20" t="n">
        <v>2</v>
      </c>
      <c r="G31" s="20" t="inlineStr">
        <is>
          <t>待確認</t>
        </is>
      </c>
      <c r="H31" s="20" t="inlineStr">
        <is>
          <t>SQL 初始化與 UDF 部署安全可控。</t>
        </is>
      </c>
      <c r="I31" s="20" t="inlineStr">
        <is>
          <t>Backend: Program.cs UDF loader、SysCore/UDF/SplitToStringTable.sql。</t>
        </is>
      </c>
      <c r="J31" s="20" t="inlineStr">
        <is>
          <t>確認 sql 檔來源、production 執行權限與錯誤處理。</t>
        </is>
      </c>
      <c r="K31" s="20" t="inlineStr">
        <is>
          <t>未驗收</t>
        </is>
      </c>
      <c r="L31" s="20" t="n"/>
      <c r="M31" s="20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20" t="n">
        <v>31</v>
      </c>
      <c r="B32" s="20" t="inlineStr">
        <is>
          <t>快取/資料一致</t>
        </is>
      </c>
      <c r="C32" s="20" t="inlineStr">
        <is>
          <t>快取失效與敏感資料快取檢核</t>
        </is>
      </c>
      <c r="D32" s="20" t="inlineStr">
        <is>
          <t>高</t>
        </is>
      </c>
      <c r="E32" s="20" t="inlineStr">
        <is>
          <t>M</t>
        </is>
      </c>
      <c r="F32" s="20" t="n">
        <v>4</v>
      </c>
      <c r="G32" s="20" t="inlineStr">
        <is>
          <t>待修</t>
        </is>
      </c>
      <c r="H32" s="20" t="inlineStr">
        <is>
          <t>OutputCache 不可快取使用者私有資料。</t>
        </is>
      </c>
      <c r="I32" s="20" t="inlineStr">
        <is>
          <t>Backend: Program.cs OutputCache policies、SysParam.ListCache/DetailCache。</t>
        </is>
      </c>
      <c r="J32" s="20" t="inlineStr">
        <is>
          <t>檢查後台 API 是否被快取、權限資料是否 Vary。</t>
        </is>
      </c>
      <c r="K32" s="20" t="inlineStr">
        <is>
          <t>未驗收</t>
        </is>
      </c>
      <c r="L32" s="20" t="n"/>
      <c r="M32" s="20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20" t="n">
        <v>32</v>
      </c>
      <c r="B33" s="20" t="inlineStr">
        <is>
          <t>資料移轉</t>
        </is>
      </c>
      <c r="C33" s="20" t="inlineStr">
        <is>
          <t>舊資料匯入流程與資料淨化</t>
        </is>
      </c>
      <c r="D33" s="20" t="inlineStr">
        <is>
          <t>中</t>
        </is>
      </c>
      <c r="E33" s="20" t="inlineStr">
        <is>
          <t>M</t>
        </is>
      </c>
      <c r="F33" s="20" t="n">
        <v>4</v>
      </c>
      <c r="G33" s="20" t="inlineStr">
        <is>
          <t>待規劃</t>
        </is>
      </c>
      <c r="H33" s="20" t="inlineStr">
        <is>
          <t>舊 SQL 匯出後透過系統功能更新，需保留檢核流程。</t>
        </is>
      </c>
      <c r="I33" s="20" t="inlineStr">
        <is>
          <t>Backend: MigrateOldData.cs；需求：舊資料先 SQL 匯出。</t>
        </is>
      </c>
      <c r="J33" s="20" t="inlineStr">
        <is>
          <t>檢查 HTML、外部連結、檔案死鏈、XSS 舊資料。</t>
        </is>
      </c>
      <c r="K33" s="20" t="inlineStr">
        <is>
          <t>未驗收</t>
        </is>
      </c>
      <c r="L33" s="20" t="n"/>
      <c r="M33" s="20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20" t="n">
        <v>33</v>
      </c>
      <c r="B34" s="20" t="inlineStr">
        <is>
          <t>前台收斂</t>
        </is>
      </c>
      <c r="C34" s="20" t="inlineStr">
        <is>
          <t>Client_DataQueryTemplate 全面收斂</t>
        </is>
      </c>
      <c r="D34" s="20" t="inlineStr">
        <is>
          <t>高</t>
        </is>
      </c>
      <c r="E34" s="20" t="inlineStr">
        <is>
          <t>L</t>
        </is>
      </c>
      <c r="F34" s="20" t="n">
        <v>8</v>
      </c>
      <c r="G34" s="20" t="inlineStr">
        <is>
          <t>待修</t>
        </is>
      </c>
      <c r="H34" s="20" t="inlineStr">
        <is>
          <t>前台 List 優先走共用資料查詢模板。</t>
        </is>
      </c>
      <c r="I34" s="20" t="inlineStr">
        <is>
          <t>Frontend: Client_DataQueryTemplate_Hook.ts、各 Client_*_List。</t>
        </is>
      </c>
      <c r="J34" s="20" t="inlineStr">
        <is>
          <t>檢查 API 錯誤處理、搜尋條件、SSR 資料一致。</t>
        </is>
      </c>
      <c r="K34" s="20" t="inlineStr">
        <is>
          <t>未驗收</t>
        </is>
      </c>
      <c r="L34" s="20" t="n"/>
      <c r="M34" s="20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20" t="n">
        <v>34</v>
      </c>
      <c r="B35" s="20" t="inlineStr">
        <is>
          <t>前台收斂</t>
        </is>
      </c>
      <c r="C35" s="20" t="inlineStr">
        <is>
          <t>移除 useXXXListFetchData 殘留</t>
        </is>
      </c>
      <c r="D35" s="20" t="inlineStr">
        <is>
          <t>中</t>
        </is>
      </c>
      <c r="E35" s="20" t="inlineStr">
        <is>
          <t>M</t>
        </is>
      </c>
      <c r="F35" s="20" t="n">
        <v>4</v>
      </c>
      <c r="G35" s="20" t="inlineStr">
        <is>
          <t>待修</t>
        </is>
      </c>
      <c r="H35" s="20" t="inlineStr">
        <is>
          <t>避免前台資料流散裝。</t>
        </is>
      </c>
      <c r="I35" s="20" t="inlineStr">
        <is>
          <t>Frontend: 目前需掃描 use*ListFetchData hook。</t>
        </is>
      </c>
      <c r="J35" s="20" t="inlineStr">
        <is>
          <t>檢查重複資料請求、記憶體洩漏、錯誤處理不一致。</t>
        </is>
      </c>
      <c r="K35" s="20" t="inlineStr">
        <is>
          <t>未驗收</t>
        </is>
      </c>
      <c r="L35" s="20" t="n"/>
      <c r="M35" s="20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20" t="n">
        <v>35</v>
      </c>
      <c r="B36" s="20" t="inlineStr">
        <is>
          <t>AA/表單</t>
        </is>
      </c>
      <c r="C36" s="20" t="inlineStr">
        <is>
          <t>AAInputField / EditGrid 標準化</t>
        </is>
      </c>
      <c r="D36" s="20" t="inlineStr">
        <is>
          <t>高</t>
        </is>
      </c>
      <c r="E36" s="20" t="inlineStr">
        <is>
          <t>L</t>
        </is>
      </c>
      <c r="F36" s="20" t="n">
        <v>8</v>
      </c>
      <c r="G36" s="20" t="inlineStr">
        <is>
          <t>待修</t>
        </is>
      </c>
      <c r="H36" s="20" t="inlineStr">
        <is>
          <t>表單、EditGrid、語系明細能共用 AA 輸入規則。</t>
        </is>
      </c>
      <c r="I36" s="20" t="inlineStr">
        <is>
          <t>Frontend: AAInputs Components、EditGrid。</t>
        </is>
      </c>
      <c r="J36" s="20" t="inlineStr">
        <is>
          <t>檢查 label/input 關聯、focus、keyboard、錯誤訊息。</t>
        </is>
      </c>
      <c r="K36" s="20" t="inlineStr">
        <is>
          <t>未驗收</t>
        </is>
      </c>
      <c r="L36" s="20" t="n"/>
      <c r="M36" s="20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20" t="n">
        <v>36</v>
      </c>
      <c r="B37" s="20" t="inlineStr">
        <is>
          <t>AA/導覽</t>
        </is>
      </c>
      <c r="C37" s="20" t="inlineStr">
        <is>
          <t>Header/Menu 鍵盤與滑鼠行為一致化</t>
        </is>
      </c>
      <c r="D37" s="20" t="inlineStr">
        <is>
          <t>高</t>
        </is>
      </c>
      <c r="E37" s="20" t="inlineStr">
        <is>
          <t>M</t>
        </is>
      </c>
      <c r="F37" s="20" t="n">
        <v>4</v>
      </c>
      <c r="G37" s="20" t="inlineStr">
        <is>
          <t>待修</t>
        </is>
      </c>
      <c r="H37" s="20" t="inlineStr">
        <is>
          <t>1816/1817 menu 行為、focus、hover、關閉邏輯一致。</t>
        </is>
      </c>
      <c r="I37" s="20" t="inlineStr">
        <is>
          <t>Frontend: Header.tsx、Spec1816.css 等。</t>
        </is>
      </c>
      <c r="J37" s="20" t="inlineStr">
        <is>
          <t>檢查 tab/focus/enter/escape/hover 衝突。</t>
        </is>
      </c>
      <c r="K37" s="20" t="inlineStr">
        <is>
          <t>未驗收</t>
        </is>
      </c>
      <c r="L37" s="20" t="n"/>
      <c r="M37" s="20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20" t="n">
        <v>37</v>
      </c>
      <c r="B38" s="20" t="inlineStr">
        <is>
          <t>搜尋/資料呈現</t>
        </is>
      </c>
      <c r="C38" s="20" t="inlineStr">
        <is>
          <t>SearchBar 關鍵字正規化</t>
        </is>
      </c>
      <c r="D38" s="20" t="inlineStr">
        <is>
          <t>高</t>
        </is>
      </c>
      <c r="E38" s="20" t="inlineStr">
        <is>
          <t>M</t>
        </is>
      </c>
      <c r="F38" s="20" t="n">
        <v>4</v>
      </c>
      <c r="G38" s="20" t="inlineStr">
        <is>
          <t>待修</t>
        </is>
      </c>
      <c r="H38" s="20" t="inlineStr">
        <is>
          <t>前後台搜尋規則一致，支援模糊與中文常見情境。</t>
        </is>
      </c>
      <c r="I38" s="20" t="inlineStr">
        <is>
          <t>Frontend: Client/Server SearchBar；Backend repository search。</t>
        </is>
      </c>
      <c r="J38" s="20" t="inlineStr">
        <is>
          <t>檢查搜尋是否造成過量查詢、特殊字元錯誤。</t>
        </is>
      </c>
      <c r="K38" s="20" t="inlineStr">
        <is>
          <t>未驗收</t>
        </is>
      </c>
      <c r="L38" s="20" t="n"/>
      <c r="M38" s="20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20" t="n">
        <v>38</v>
      </c>
      <c r="B39" s="20" t="inlineStr">
        <is>
          <t>統計</t>
        </is>
      </c>
      <c r="C39" s="20" t="inlineStr">
        <is>
          <t>瀏覽/下載/點擊統計</t>
        </is>
      </c>
      <c r="D39" s="20" t="inlineStr">
        <is>
          <t>高</t>
        </is>
      </c>
      <c r="E39" s="20" t="inlineStr">
        <is>
          <t>M</t>
        </is>
      </c>
      <c r="F39" s="20" t="n">
        <v>4</v>
      </c>
      <c r="G39" s="20" t="inlineStr">
        <is>
          <t>待修</t>
        </is>
      </c>
      <c r="H39" s="20" t="inlineStr">
        <is>
          <t>頁尾瀏覽人數、公告瀏覽數、檔案下載數可統計。</t>
        </is>
      </c>
      <c r="I39" s="20" t="inlineStr">
        <is>
          <t>Backend: ViewCountActionType；Frontend: Footer/FileArchive/Announcement。</t>
        </is>
      </c>
      <c r="J39" s="20" t="inlineStr">
        <is>
          <t>檢查重複計數、機器人流量、IP/個資保存。</t>
        </is>
      </c>
      <c r="K39" s="20" t="inlineStr">
        <is>
          <t>未驗收</t>
        </is>
      </c>
      <c r="L39" s="20" t="n"/>
      <c r="M39" s="20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20" t="n">
        <v>39</v>
      </c>
      <c r="B40" s="20" t="inlineStr">
        <is>
          <t>多語系</t>
        </is>
      </c>
      <c r="C40" s="20" t="inlineStr">
        <is>
          <t>Resx 與欄位顯示完整度</t>
        </is>
      </c>
      <c r="D40" s="20" t="inlineStr">
        <is>
          <t>高</t>
        </is>
      </c>
      <c r="E40" s="20" t="inlineStr">
        <is>
          <t>M</t>
        </is>
      </c>
      <c r="F40" s="20" t="n">
        <v>4</v>
      </c>
      <c r="G40" s="20" t="inlineStr">
        <is>
          <t>待修</t>
        </is>
      </c>
      <c r="H40" s="20" t="inlineStr">
        <is>
          <t>中英文欄位、訊息、Enum 顯示一致。</t>
        </is>
      </c>
      <c r="I40" s="20" t="inlineStr">
        <is>
          <t>Backend: Features/_Resx；Frontend: SchemaFields。</t>
        </is>
      </c>
      <c r="J40" s="20" t="inlineStr">
        <is>
          <t>檢查缺字串 fallback 是否外露內部 key。</t>
        </is>
      </c>
      <c r="K40" s="20" t="inlineStr">
        <is>
          <t>未驗收</t>
        </is>
      </c>
      <c r="L40" s="20" t="n"/>
      <c r="M40" s="20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20" t="n">
        <v>40</v>
      </c>
      <c r="B41" s="20" t="inlineStr">
        <is>
          <t>多語系</t>
        </is>
      </c>
      <c r="C41" s="20" t="inlineStr">
        <is>
          <t>多語資料治理流程</t>
        </is>
      </c>
      <c r="D41" s="20" t="inlineStr">
        <is>
          <t>高</t>
        </is>
      </c>
      <c r="E41" s="20" t="inlineStr">
        <is>
          <t>L</t>
        </is>
      </c>
      <c r="F41" s="20" t="n">
        <v>8</v>
      </c>
      <c r="G41" s="20" t="inlineStr">
        <is>
          <t>待規劃</t>
        </is>
      </c>
      <c r="H41" s="20" t="inlineStr">
        <is>
          <t>決定哪些內容欄位需要中英文分開維護。</t>
        </is>
      </c>
      <c r="I41" s="20" t="inlineStr">
        <is>
          <t>Backend/Frontend: Page、Announcement、Material 等多語明細。</t>
        </is>
      </c>
      <c r="J41" s="20" t="inlineStr">
        <is>
          <t>檢查語系錯位、fallback、前台語系一致。</t>
        </is>
      </c>
      <c r="K41" s="20" t="inlineStr">
        <is>
          <t>未驗收</t>
        </is>
      </c>
      <c r="L41" s="20" t="n"/>
      <c r="M41" s="20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20" t="n">
        <v>41</v>
      </c>
      <c r="B42" s="20" t="inlineStr">
        <is>
          <t>部署/中後期</t>
        </is>
      </c>
      <c r="C42" s="20" t="inlineStr">
        <is>
          <t>Redis 快取導入計畫</t>
        </is>
      </c>
      <c r="D42" s="20" t="inlineStr">
        <is>
          <t>中</t>
        </is>
      </c>
      <c r="E42" s="20" t="inlineStr">
        <is>
          <t>L</t>
        </is>
      </c>
      <c r="F42" s="20" t="n">
        <v>8</v>
      </c>
      <c r="G42" s="20" t="inlineStr">
        <is>
          <t>待規劃</t>
        </is>
      </c>
      <c r="H42" s="20" t="inlineStr">
        <is>
          <t>Docker/Linux 後導入 Redis，替換/擴充記憶體快取。</t>
        </is>
      </c>
      <c r="I42" s="20" t="inlineStr">
        <is>
          <t>Backend: appsettings RedisConnection、Program.cs Redis 註解。</t>
        </is>
      </c>
      <c r="J42" s="20" t="inlineStr">
        <is>
          <t>檢查連線安全、key namespace、失效策略。</t>
        </is>
      </c>
      <c r="K42" s="20" t="inlineStr">
        <is>
          <t>未驗收</t>
        </is>
      </c>
      <c r="L42" s="20" t="n"/>
      <c r="M42" s="20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20" t="n">
        <v>42</v>
      </c>
      <c r="B43" s="20" t="inlineStr">
        <is>
          <t>部署/中後期</t>
        </is>
      </c>
      <c r="C43" s="20" t="inlineStr">
        <is>
          <t>Docker/Linux 部署基準</t>
        </is>
      </c>
      <c r="D43" s="20" t="inlineStr">
        <is>
          <t>中</t>
        </is>
      </c>
      <c r="E43" s="20" t="inlineStr">
        <is>
          <t>L</t>
        </is>
      </c>
      <c r="F43" s="20" t="n">
        <v>8</v>
      </c>
      <c r="G43" s="20" t="inlineStr">
        <is>
          <t>待規劃</t>
        </is>
      </c>
      <c r="H43" s="20" t="inlineStr">
        <is>
          <t>後續包 Docker 並整理 Linux/Redis/IIS 或 reverse proxy 設定。</t>
        </is>
      </c>
      <c r="I43" s="20" t="inlineStr">
        <is>
          <t>Backend/Frontend: publish scripts、web.config。</t>
        </is>
      </c>
      <c r="J43" s="20" t="inlineStr">
        <is>
          <t>檢查 secrets、volume、檔案權限、TLS。</t>
        </is>
      </c>
      <c r="K43" s="20" t="inlineStr">
        <is>
          <t>未驗收</t>
        </is>
      </c>
      <c r="L43" s="20" t="n"/>
      <c r="M43" s="20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20" t="n">
        <v>43</v>
      </c>
      <c r="B44" s="20" t="inlineStr">
        <is>
          <t>部署/中後期</t>
        </is>
      </c>
      <c r="C44" s="20" t="inlineStr">
        <is>
          <t>GraphQL 中期安全模型</t>
        </is>
      </c>
      <c r="D44" s="20" t="inlineStr">
        <is>
          <t>中</t>
        </is>
      </c>
      <c r="E44" s="20" t="inlineStr">
        <is>
          <t>L</t>
        </is>
      </c>
      <c r="F44" s="20" t="n">
        <v>8</v>
      </c>
      <c r="G44" s="20" t="inlineStr">
        <is>
          <t>待規劃</t>
        </is>
      </c>
      <c r="H44" s="20" t="inlineStr">
        <is>
          <t>未來轉 GraphQL 前先定 auth、depth、complexity、N+1。</t>
        </is>
      </c>
      <c r="I44" s="20" t="inlineStr">
        <is>
          <t>目前仍以 Restful API 為主。</t>
        </is>
      </c>
      <c r="J44" s="20" t="inlineStr">
        <is>
          <t>檢查 introspection、query depth、欄位授權。</t>
        </is>
      </c>
      <c r="K44" s="20" t="inlineStr">
        <is>
          <t>未驗收</t>
        </is>
      </c>
      <c r="L44" s="20" t="n"/>
      <c r="M44" s="20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20" t="n">
        <v>44</v>
      </c>
      <c r="B45" s="20" t="inlineStr">
        <is>
          <t>部署/維運</t>
        </is>
      </c>
      <c r="C45" s="20" t="inlineStr">
        <is>
          <t>發布腳本與回滾流程</t>
        </is>
      </c>
      <c r="D45" s="20" t="inlineStr">
        <is>
          <t>高</t>
        </is>
      </c>
      <c r="E45" s="20" t="inlineStr">
        <is>
          <t>M</t>
        </is>
      </c>
      <c r="F45" s="20" t="n">
        <v>4</v>
      </c>
      <c r="G45" s="20" t="inlineStr">
        <is>
          <t>待規劃</t>
        </is>
      </c>
      <c r="H45" s="20" t="inlineStr">
        <is>
          <t>建立前後端發布、備份、回滾的固定流程。</t>
        </is>
      </c>
      <c r="I45" s="20" t="inlineStr">
        <is>
          <t>Backend: Scripts/PublishBackendBySpec.ps1；Frontend: bundle-deploy.mjs。</t>
        </is>
      </c>
      <c r="J45" s="20" t="inlineStr">
        <is>
          <t>確認部署不含 dev 設定、備份可復原。</t>
        </is>
      </c>
      <c r="K45" s="20" t="inlineStr">
        <is>
          <t>未驗收</t>
        </is>
      </c>
      <c r="L45" s="20" t="n"/>
      <c r="M45" s="20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20" t="n">
        <v>45</v>
      </c>
      <c r="B46" s="20" t="inlineStr">
        <is>
          <t>套件/供應鏈</t>
        </is>
      </c>
      <c r="C46" s="20" t="inlineStr">
        <is>
          <t>npm audit 與前端套件治理</t>
        </is>
      </c>
      <c r="D46" s="20" t="inlineStr">
        <is>
          <t>高</t>
        </is>
      </c>
      <c r="E46" s="20" t="inlineStr">
        <is>
          <t>M</t>
        </is>
      </c>
      <c r="F46" s="20" t="n">
        <v>4</v>
      </c>
      <c r="G46" s="20" t="inlineStr">
        <is>
          <t>待修</t>
        </is>
      </c>
      <c r="H46" s="20" t="inlineStr">
        <is>
          <t>掃描前端套件弱點與版本風險。</t>
        </is>
      </c>
      <c r="I46" s="20" t="inlineStr">
        <is>
          <t>Frontend: package.json、package-lock.json。</t>
        </is>
      </c>
      <c r="J46" s="20" t="inlineStr">
        <is>
          <t>檢查高風險套件、TinyMCE 自架版本、Vite/React。</t>
        </is>
      </c>
      <c r="K46" s="20" t="inlineStr">
        <is>
          <t>未驗收</t>
        </is>
      </c>
      <c r="L46" s="20" t="n"/>
      <c r="M46" s="20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20" t="n">
        <v>46</v>
      </c>
      <c r="B47" s="20" t="inlineStr">
        <is>
          <t>套件/供應鏈</t>
        </is>
      </c>
      <c r="C47" s="20" t="inlineStr">
        <is>
          <t>NuGet 套件弱點治理</t>
        </is>
      </c>
      <c r="D47" s="20" t="inlineStr">
        <is>
          <t>高</t>
        </is>
      </c>
      <c r="E47" s="20" t="inlineStr">
        <is>
          <t>M</t>
        </is>
      </c>
      <c r="F47" s="20" t="n">
        <v>4</v>
      </c>
      <c r="G47" s="20" t="inlineStr">
        <is>
          <t>待修</t>
        </is>
      </c>
      <c r="H47" s="20" t="inlineStr">
        <is>
          <t>掃描後端套件 CVE 與版本風險。</t>
        </is>
      </c>
      <c r="I47" s="20" t="inlineStr">
        <is>
          <t>Backend: WCMS.csproj。</t>
        </is>
      </c>
      <c r="J47" s="20" t="inlineStr">
        <is>
          <t>檢查 ASP.NET Core、EF、JWT、NLog 等套件。</t>
        </is>
      </c>
      <c r="K47" s="20" t="inlineStr">
        <is>
          <t>未驗收</t>
        </is>
      </c>
      <c r="L47" s="20" t="n"/>
      <c r="M47" s="20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20" t="n">
        <v>47</v>
      </c>
      <c r="B48" s="20" t="inlineStr">
        <is>
          <t>機密/設定</t>
        </is>
      </c>
      <c r="C48" s="20" t="inlineStr">
        <is>
          <t>Secrets 與環境設定檢核</t>
        </is>
      </c>
      <c r="D48" s="20" t="inlineStr">
        <is>
          <t>高</t>
        </is>
      </c>
      <c r="E48" s="20" t="inlineStr">
        <is>
          <t>S</t>
        </is>
      </c>
      <c r="F48" s="20" t="n">
        <v>2</v>
      </c>
      <c r="G48" s="20" t="inlineStr">
        <is>
          <t>待修</t>
        </is>
      </c>
      <c r="H48" s="20" t="inlineStr">
        <is>
          <t>確認正式設定不含密碼、token、內網連線資訊外洩。</t>
        </is>
      </c>
      <c r="I48" s="20" t="inlineStr">
        <is>
          <t>Backend: appsettings*.json；Frontend: .env.*。</t>
        </is>
      </c>
      <c r="J48" s="20" t="inlineStr">
        <is>
          <t>檢查 Git/部署包是否含 secrets。</t>
        </is>
      </c>
      <c r="K48" s="20" t="inlineStr">
        <is>
          <t>未驗收</t>
        </is>
      </c>
      <c r="L48" s="20" t="n"/>
      <c r="M48" s="20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20" t="n">
        <v>48</v>
      </c>
      <c r="B49" s="20" t="inlineStr">
        <is>
          <t>驗收/弱掃</t>
        </is>
      </c>
      <c r="C49" s="20" t="inlineStr">
        <is>
          <t>弱掃回歸檢查清單</t>
        </is>
      </c>
      <c r="D49" s="20" t="inlineStr">
        <is>
          <t>高</t>
        </is>
      </c>
      <c r="E49" s="20" t="inlineStr">
        <is>
          <t>M</t>
        </is>
      </c>
      <c r="F49" s="20" t="n">
        <v>4</v>
      </c>
      <c r="G49" s="20" t="inlineStr">
        <is>
          <t>待修</t>
        </is>
      </c>
      <c r="H49" s="20" t="inlineStr">
        <is>
          <t>每次 CSP/安全標頭/TinyMCE 調整後能快速回歸。</t>
        </is>
      </c>
      <c r="I49" s="20" t="inlineStr">
        <is>
          <t>Frontend/Backend: CSPSetting、SecuritySetup、web.config。</t>
        </is>
      </c>
      <c r="J49" s="20" t="inlineStr">
        <is>
          <t>確認掃描 All Clear 後功能未回歸。</t>
        </is>
      </c>
      <c r="K49" s="20" t="inlineStr">
        <is>
          <t>未驗收</t>
        </is>
      </c>
      <c r="L49" s="20" t="n"/>
      <c r="M49" s="20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20" t="n">
        <v>49</v>
      </c>
      <c r="B50" s="20" t="inlineStr">
        <is>
          <t>白帽流程</t>
        </is>
      </c>
      <c r="C50" s="20" t="inlineStr">
        <is>
          <t>原始碼白帽檢測流程建立</t>
        </is>
      </c>
      <c r="D50" s="20" t="inlineStr">
        <is>
          <t>高</t>
        </is>
      </c>
      <c r="E50" s="20" t="inlineStr">
        <is>
          <t>M</t>
        </is>
      </c>
      <c r="F50" s="20" t="n">
        <v>4</v>
      </c>
      <c r="G50" s="20" t="inlineStr">
        <is>
          <t>待修</t>
        </is>
      </c>
      <c r="H50" s="20" t="inlineStr">
        <is>
          <t>建立後續逐檔掃描、紀錄、修正、複測格式。</t>
        </is>
      </c>
      <c r="I50" s="20" t="inlineStr">
        <is>
          <t>本 Excel：白帽檢測結果、修正驗收紀錄。</t>
        </is>
      </c>
      <c r="J50" s="20" t="inlineStr">
        <is>
          <t>定義風險等級、證據、修正、驗收欄位。</t>
        </is>
      </c>
      <c r="K50" s="20" t="inlineStr">
        <is>
          <t>未驗收</t>
        </is>
      </c>
      <c r="L50" s="20" t="n"/>
      <c r="M50" s="20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20" t="n">
        <v>50</v>
      </c>
      <c r="B51" s="20" t="inlineStr">
        <is>
          <t>上線準備</t>
        </is>
      </c>
      <c r="C51" s="20" t="inlineStr">
        <is>
          <t>Go-live All Clear 門檻</t>
        </is>
      </c>
      <c r="D51" s="20" t="inlineStr">
        <is>
          <t>高</t>
        </is>
      </c>
      <c r="E51" s="20" t="inlineStr">
        <is>
          <t>L</t>
        </is>
      </c>
      <c r="F51" s="20" t="n">
        <v>8</v>
      </c>
      <c r="G51" s="20" t="inlineStr">
        <is>
          <t>待規劃</t>
        </is>
      </c>
      <c r="H51" s="20" t="inlineStr">
        <is>
          <t>正式上線前確認功能、AA、弱掃、白帽、資料移轉皆可追蹤。</t>
        </is>
      </c>
      <c r="I51" s="20" t="inlineStr">
        <is>
          <t>整體專案。</t>
        </is>
      </c>
      <c r="J51" s="20" t="inlineStr">
        <is>
          <t>確認沒有緊急/高風險待修，待驗收都有結果。</t>
        </is>
      </c>
      <c r="K51" s="20" t="inlineStr">
        <is>
          <t>未驗收</t>
        </is>
      </c>
      <c r="L51" s="20" t="n"/>
      <c r="M51" s="20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20" t="n">
        <v>51</v>
      </c>
      <c r="B52" s="20" t="inlineStr">
        <is>
          <t>隱私/紀錄</t>
        </is>
      </c>
      <c r="C52" s="20" t="inlineStr">
        <is>
          <t>Log 敏感資料遮罩</t>
        </is>
      </c>
      <c r="D52" s="20" t="inlineStr">
        <is>
          <t>高</t>
        </is>
      </c>
      <c r="E52" s="20" t="inlineStr">
        <is>
          <t>M</t>
        </is>
      </c>
      <c r="F52" s="20" t="n">
        <v>4</v>
      </c>
      <c r="G52" s="20" t="inlineStr">
        <is>
          <t>待修</t>
        </is>
      </c>
      <c r="H52" s="20" t="inlineStr">
        <is>
          <t>所有 log 不可保存密碼、JWT、Cookie、個資全文。</t>
        </is>
      </c>
      <c r="I52" s="20" t="inlineStr">
        <is>
          <t>Backend: OperateLogMiddleware、NLog.config；Frontend console log。</t>
        </is>
      </c>
      <c r="J52" s="20" t="inlineStr">
        <is>
          <t>搜尋 Authorization、Set-Cookie、password、token 記錄。</t>
        </is>
      </c>
      <c r="K52" s="20" t="inlineStr">
        <is>
          <t>未驗收</t>
        </is>
      </c>
      <c r="L52" s="20" t="n"/>
      <c r="M52" s="20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20" t="n">
        <v>52</v>
      </c>
      <c r="B53" s="20" t="inlineStr">
        <is>
          <t>錯誤處理</t>
        </is>
      </c>
      <c r="C53" s="20" t="inlineStr">
        <is>
          <t>API Error Response 安全格式</t>
        </is>
      </c>
      <c r="D53" s="20" t="inlineStr">
        <is>
          <t>高</t>
        </is>
      </c>
      <c r="E53" s="20" t="inlineStr">
        <is>
          <t>M</t>
        </is>
      </c>
      <c r="F53" s="20" t="n">
        <v>4</v>
      </c>
      <c r="G53" s="20" t="inlineStr">
        <is>
          <t>待修</t>
        </is>
      </c>
      <c r="H53" s="20" t="inlineStr">
        <is>
          <t>前後端錯誤訊息需友善且不洩漏內部資訊。</t>
        </is>
      </c>
      <c r="I53" s="20" t="inlineStr">
        <is>
          <t>Backend: ErrorHandling.cs、BusinessException.cs；Frontend API error handler。</t>
        </is>
      </c>
      <c r="J53" s="20" t="inlineStr">
        <is>
          <t>測試 500/404/401/403 是否泄漏 stack 或 SQL。</t>
        </is>
      </c>
      <c r="K53" s="20" t="inlineStr">
        <is>
          <t>未驗收</t>
        </is>
      </c>
      <c r="L53" s="20" t="n"/>
      <c r="M53" s="20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conditionalFormatting sqref="D2:D53">
    <cfRule type="expression" priority="1" dxfId="4">
      <formula>$D2="緊急"</formula>
    </cfRule>
    <cfRule type="expression" priority="2" dxfId="5">
      <formula>$D2="高"</formula>
    </cfRule>
    <cfRule type="expression" priority="3" dxfId="6">
      <formula>$D2="中"</formula>
    </cfRule>
    <cfRule type="expression" priority="4" dxfId="7">
      <formula>$D2="低"</formula>
    </cfRule>
  </conditionalFormatting>
  <conditionalFormatting sqref="G2:G53">
    <cfRule type="expression" priority="5" dxfId="4">
      <formula>$G2="退回"</formula>
    </cfRule>
    <cfRule type="expression" priority="6" dxfId="5">
      <formula>$G2="待修"</formula>
    </cfRule>
    <cfRule type="expression" priority="7" dxfId="7">
      <formula>$G2="處理中"</formula>
    </cfRule>
    <cfRule type="expression" priority="8" dxfId="7">
      <formula>$G2="待規劃"</formula>
    </cfRule>
    <cfRule type="expression" priority="9" dxfId="7">
      <formula>$G2="待確認"</formula>
    </cfRule>
    <cfRule type="expression" priority="10" dxfId="8">
      <formula>$G2="待驗收"</formula>
    </cfRule>
    <cfRule type="expression" priority="11" dxfId="5">
      <formula>$G2="未驗收"</formula>
    </cfRule>
    <cfRule type="expression" priority="12" dxfId="7">
      <formula>$G2="已通過"</formula>
    </cfRule>
    <cfRule type="expression" priority="13" dxfId="7">
      <formula>$G2="通過"</formula>
    </cfRule>
    <cfRule type="expression" priority="14" dxfId="4">
      <formula>$G2="未通過"</formula>
    </cfRule>
  </conditionalFormatting>
  <conditionalFormatting sqref="K2:K53">
    <cfRule type="expression" priority="15" dxfId="4">
      <formula>$K2="退回"</formula>
    </cfRule>
    <cfRule type="expression" priority="16" dxfId="5">
      <formula>$K2="待修"</formula>
    </cfRule>
    <cfRule type="expression" priority="17" dxfId="7">
      <formula>$K2="處理中"</formula>
    </cfRule>
    <cfRule type="expression" priority="18" dxfId="7">
      <formula>$K2="待規劃"</formula>
    </cfRule>
    <cfRule type="expression" priority="19" dxfId="7">
      <formula>$K2="待確認"</formula>
    </cfRule>
    <cfRule type="expression" priority="20" dxfId="8">
      <formula>$K2="待驗收"</formula>
    </cfRule>
    <cfRule type="expression" priority="21" dxfId="5">
      <formula>$K2="未驗收"</formula>
    </cfRule>
    <cfRule type="expression" priority="22" dxfId="7">
      <formula>$K2="已通過"</formula>
    </cfRule>
    <cfRule type="expression" priority="23" dxfId="7">
      <formula>$K2="通過"</formula>
    </cfRule>
    <cfRule type="expression" priority="24" dxfId="4">
      <formula>$K2="未通過"</formula>
    </cfRule>
  </conditionalFormatting>
  <dataValidations count="4">
    <dataValidation sqref="D2:D53" showDropDown="0" showInputMessage="0" showErrorMessage="0" allowBlank="1" type="list">
      <formula1>'選單值'!$A$2:$A$5</formula1>
    </dataValidation>
    <dataValidation sqref="G2:G53" showDropDown="0" showInputMessage="0" showErrorMessage="0" allowBlank="1" type="list">
      <formula1>'選單值'!$C$2:$C$10</formula1>
    </dataValidation>
    <dataValidation sqref="E2:E53" showDropDown="0" showInputMessage="0" showErrorMessage="0" allowBlank="1" type="list">
      <formula1>'選單值'!$B$2:$B$5</formula1>
    </dataValidation>
    <dataValidation sqref="K2:K53" showDropDown="0" showInputMessage="0" showErrorMessage="0" allowBlank="1" type="list">
      <formula1>'選單值'!$D$2:$D$8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12" customWidth="1" style="21" min="2" max="2"/>
    <col width="22" customWidth="1" style="21" min="3" max="3"/>
    <col width="12" customWidth="1" style="21" min="4" max="4"/>
    <col width="22" customWidth="1" style="21" min="5" max="5"/>
    <col width="36" customWidth="1" style="21" min="6" max="6"/>
    <col width="42" customWidth="1" style="21" min="7" max="9"/>
    <col width="12" customWidth="1" style="21" min="10" max="10"/>
    <col width="13" customWidth="1" style="21" min="11" max="12"/>
    <col width="12" customWidth="1" style="21" min="13" max="13"/>
    <col width="13" customWidth="1" style="21" min="14" max="14"/>
    <col width="42" customWidth="1" style="21" min="15" max="15"/>
    <col width="8.630000114440918" customWidth="1" style="21" min="16" max="18"/>
  </cols>
  <sheetData>
    <row r="1" ht="25.5" customHeight="1" s="21">
      <c r="A1" s="19" t="inlineStr">
        <is>
          <t>序號</t>
        </is>
      </c>
      <c r="B1" s="19" t="inlineStr">
        <is>
          <t>區域</t>
        </is>
      </c>
      <c r="C1" s="19" t="inlineStr">
        <is>
          <t>檢測類型</t>
        </is>
      </c>
      <c r="D1" s="19" t="inlineStr">
        <is>
          <t>風險等級</t>
        </is>
      </c>
      <c r="E1" s="19" t="inlineStr">
        <is>
          <t>項目/弱點名稱</t>
        </is>
      </c>
      <c r="F1" s="19" t="inlineStr">
        <is>
          <t>檔案/路徑</t>
        </is>
      </c>
      <c r="G1" s="19" t="inlineStr">
        <is>
          <t>觸發條件/檢測方式</t>
        </is>
      </c>
      <c r="H1" s="19" t="inlineStr">
        <is>
          <t>證據摘要</t>
        </is>
      </c>
      <c r="I1" s="19" t="inlineStr">
        <is>
          <t>建議修正</t>
        </is>
      </c>
      <c r="J1" s="19" t="inlineStr">
        <is>
          <t>狀態</t>
        </is>
      </c>
      <c r="K1" s="19" t="inlineStr">
        <is>
          <t>預計花費時間(hr)</t>
        </is>
      </c>
      <c r="L1" s="19" t="inlineStr">
        <is>
          <t>完成日期</t>
        </is>
      </c>
      <c r="M1" s="19" t="inlineStr">
        <is>
          <t>驗收結果</t>
        </is>
      </c>
      <c r="N1" s="19" t="inlineStr">
        <is>
          <t>複測日期</t>
        </is>
      </c>
      <c r="O1" s="19" t="inlineStr">
        <is>
          <t>備註</t>
        </is>
      </c>
      <c r="P1" s="12" t="inlineStr">
        <is>
          <t>複驗備註</t>
        </is>
      </c>
      <c r="Q1" s="12" t="inlineStr">
        <is>
          <t>複驗日期</t>
        </is>
      </c>
      <c r="R1" s="12" t="inlineStr">
        <is>
          <t>退回原因</t>
        </is>
      </c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n">
        <v>1</v>
      </c>
      <c r="B2" s="20" t="inlineStr">
        <is>
          <t>後端</t>
        </is>
      </c>
      <c r="C2" s="20" t="inlineStr">
        <is>
          <t>Auth</t>
        </is>
      </c>
      <c r="D2" s="20" t="inlineStr">
        <is>
          <t>高</t>
        </is>
      </c>
      <c r="E2" s="20" t="inlineStr">
        <is>
          <t>JWT 登出後仍可使用</t>
        </is>
      </c>
      <c r="F2" s="20" t="inlineStr">
        <is>
          <t>SysCore/TokenService.cs、Program.cs</t>
        </is>
      </c>
      <c r="G2" s="20" t="inlineStr">
        <is>
          <t>以舊 token 呼叫後台 API</t>
        </is>
      </c>
      <c r="H2" s="20" t="n"/>
      <c r="I2" s="20" t="inlineStr">
        <is>
          <t>導入 token revocation / cache 黑名單。</t>
        </is>
      </c>
      <c r="J2" s="20" t="inlineStr">
        <is>
          <t>待檢測</t>
        </is>
      </c>
      <c r="K2" s="20" t="n">
        <v>4</v>
      </c>
      <c r="L2" s="20" t="n"/>
      <c r="M2" s="20" t="inlineStr">
        <is>
          <t>未驗收</t>
        </is>
      </c>
      <c r="N2" s="20" t="n"/>
      <c r="O2" s="20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n">
        <v>2</v>
      </c>
      <c r="B3" s="20" t="inlineStr">
        <is>
          <t>後端</t>
        </is>
      </c>
      <c r="C3" s="20" t="inlineStr">
        <is>
          <t>Auth</t>
        </is>
      </c>
      <c r="D3" s="20" t="inlineStr">
        <is>
          <t>高</t>
        </is>
      </c>
      <c r="E3" s="20" t="inlineStr">
        <is>
          <t>後台 API 未完整授權</t>
        </is>
      </c>
      <c r="F3" s="20" t="inlineStr">
        <is>
          <t>SysCore/ApiDataController.cs、Features/*</t>
        </is>
      </c>
      <c r="G3" s="20" t="inlineStr">
        <is>
          <t>匿名/低權限帳號直接呼叫 API</t>
        </is>
      </c>
      <c r="H3" s="20" t="n"/>
      <c r="I3" s="20" t="inlineStr">
        <is>
          <t>所有管理 API 套用授權與 RolePermission。</t>
        </is>
      </c>
      <c r="J3" s="20" t="inlineStr">
        <is>
          <t>待檢測</t>
        </is>
      </c>
      <c r="K3" s="20" t="n">
        <v>8</v>
      </c>
      <c r="L3" s="20" t="n"/>
      <c r="M3" s="20" t="inlineStr">
        <is>
          <t>未驗收</t>
        </is>
      </c>
      <c r="N3" s="20" t="n"/>
      <c r="O3" s="20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n">
        <v>3</v>
      </c>
      <c r="B4" s="20" t="inlineStr">
        <is>
          <t>後端</t>
        </is>
      </c>
      <c r="C4" s="20" t="inlineStr">
        <is>
          <t>Auth</t>
        </is>
      </c>
      <c r="D4" s="20" t="inlineStr">
        <is>
          <t>高</t>
        </is>
      </c>
      <c r="E4" s="20" t="inlineStr">
        <is>
          <t>登入防爆破不足</t>
        </is>
      </c>
      <c r="F4" s="20" t="inlineStr">
        <is>
          <t>Program.cs、SecuritySetup.cs</t>
        </is>
      </c>
      <c r="G4" s="20" t="inlineStr">
        <is>
          <t>連續錯誤登入測試</t>
        </is>
      </c>
      <c r="H4" s="20" t="n"/>
      <c r="I4" s="20" t="inlineStr">
        <is>
          <t>啟用 RateLimit 與鎖定策略。</t>
        </is>
      </c>
      <c r="J4" s="20" t="inlineStr">
        <is>
          <t>待檢測</t>
        </is>
      </c>
      <c r="K4" s="20" t="n">
        <v>4</v>
      </c>
      <c r="L4" s="20" t="n"/>
      <c r="M4" s="20" t="inlineStr">
        <is>
          <t>未驗收</t>
        </is>
      </c>
      <c r="N4" s="20" t="n"/>
      <c r="O4" s="20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n">
        <v>4</v>
      </c>
      <c r="B5" s="20" t="inlineStr">
        <is>
          <t>後端</t>
        </is>
      </c>
      <c r="C5" s="20" t="inlineStr">
        <is>
          <t>Access Control</t>
        </is>
      </c>
      <c r="D5" s="20" t="inlineStr">
        <is>
          <t>高</t>
        </is>
      </c>
      <c r="E5" s="20" t="inlineStr">
        <is>
          <t>IDOR / 越權資料存取</t>
        </is>
      </c>
      <c r="F5" s="20" t="inlineStr">
        <is>
          <t>BasicRepository.cs、BizService.cs</t>
        </is>
      </c>
      <c r="G5" s="20" t="inlineStr">
        <is>
          <t>替換 internalId/pk 存取其他資料</t>
        </is>
      </c>
      <c r="H5" s="20" t="n"/>
      <c r="I5" s="20" t="inlineStr">
        <is>
          <t>於 service 層加入資料範圍與權限檢查。</t>
        </is>
      </c>
      <c r="J5" s="20" t="inlineStr">
        <is>
          <t>待檢測</t>
        </is>
      </c>
      <c r="K5" s="20" t="n">
        <v>8</v>
      </c>
      <c r="L5" s="20" t="n"/>
      <c r="M5" s="20" t="inlineStr">
        <is>
          <t>未驗收</t>
        </is>
      </c>
      <c r="N5" s="20" t="n"/>
      <c r="O5" s="20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>
        <v>5</v>
      </c>
      <c r="B6" s="20" t="inlineStr">
        <is>
          <t>後端</t>
        </is>
      </c>
      <c r="C6" s="20" t="inlineStr">
        <is>
          <t>Input Validation</t>
        </is>
      </c>
      <c r="D6" s="20" t="inlineStr">
        <is>
          <t>高</t>
        </is>
      </c>
      <c r="E6" s="20" t="inlineStr">
        <is>
          <t>動態排序/搜尋注入</t>
        </is>
      </c>
      <c r="F6" s="20" t="inlineStr">
        <is>
          <t>BasicRepository.cs</t>
        </is>
      </c>
      <c r="G6" s="20" t="inlineStr">
        <is>
          <t>帶入特殊欄位/SQL 字元搜尋</t>
        </is>
      </c>
      <c r="H6" s="20" t="n"/>
      <c r="I6" s="20" t="inlineStr">
        <is>
          <t>所有欄位名稱白名單化，值使用參數化。</t>
        </is>
      </c>
      <c r="J6" s="20" t="inlineStr">
        <is>
          <t>待檢測</t>
        </is>
      </c>
      <c r="K6" s="20" t="n">
        <v>4</v>
      </c>
      <c r="L6" s="20" t="n"/>
      <c r="M6" s="20" t="inlineStr">
        <is>
          <t>未驗收</t>
        </is>
      </c>
      <c r="N6" s="20" t="n"/>
      <c r="O6" s="20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0" t="n">
        <v>6</v>
      </c>
      <c r="B7" s="20" t="inlineStr">
        <is>
          <t>後端</t>
        </is>
      </c>
      <c r="C7" s="20" t="inlineStr">
        <is>
          <t>File Upload</t>
        </is>
      </c>
      <c r="D7" s="20" t="inlineStr">
        <is>
          <t>高</t>
        </is>
      </c>
      <c r="E7" s="20" t="inlineStr">
        <is>
          <t>副檔名/MIME 偽裝</t>
        </is>
      </c>
      <c r="F7" s="20" t="inlineStr">
        <is>
          <t>FileManagement、useUploadFile.ts</t>
        </is>
      </c>
      <c r="G7" s="20" t="inlineStr">
        <is>
          <t>上傳 .html/.svg/.aspx 或偽裝圖片</t>
        </is>
      </c>
      <c r="H7" s="20" t="n"/>
      <c r="I7" s="20" t="inlineStr">
        <is>
          <t>副檔名+MIME+magic bytes+大小限制。</t>
        </is>
      </c>
      <c r="J7" s="20" t="inlineStr">
        <is>
          <t>待檢測</t>
        </is>
      </c>
      <c r="K7" s="20" t="n">
        <v>4</v>
      </c>
      <c r="L7" s="20" t="n"/>
      <c r="M7" s="20" t="inlineStr">
        <is>
          <t>未驗收</t>
        </is>
      </c>
      <c r="N7" s="20" t="n"/>
      <c r="O7" s="20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0" t="n">
        <v>7</v>
      </c>
      <c r="B8" s="20" t="inlineStr">
        <is>
          <t>後端</t>
        </is>
      </c>
      <c r="C8" s="20" t="inlineStr">
        <is>
          <t>File Access</t>
        </is>
      </c>
      <c r="D8" s="20" t="inlineStr">
        <is>
          <t>高</t>
        </is>
      </c>
      <c r="E8" s="20" t="inlineStr">
        <is>
          <t>Path Traversal</t>
        </is>
      </c>
      <c r="F8" s="20" t="inlineStr">
        <is>
          <t>FileManagement、appsettings FilePaths</t>
        </is>
      </c>
      <c r="G8" s="20" t="inlineStr">
        <is>
          <t>internalId/path 加入 ../ 或 URL encode</t>
        </is>
      </c>
      <c r="H8" s="20" t="n"/>
      <c r="I8" s="20" t="inlineStr">
        <is>
          <t>使用根目錄白名單與 GetFullPath 比對。</t>
        </is>
      </c>
      <c r="J8" s="20" t="inlineStr">
        <is>
          <t>待檢測</t>
        </is>
      </c>
      <c r="K8" s="20" t="n">
        <v>4</v>
      </c>
      <c r="L8" s="20" t="n"/>
      <c r="M8" s="20" t="inlineStr">
        <is>
          <t>未驗收</t>
        </is>
      </c>
      <c r="N8" s="20" t="n"/>
      <c r="O8" s="20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0" t="n">
        <v>8</v>
      </c>
      <c r="B9" s="20" t="inlineStr">
        <is>
          <t>後端</t>
        </is>
      </c>
      <c r="C9" s="20" t="inlineStr">
        <is>
          <t>Error Handling</t>
        </is>
      </c>
      <c r="D9" s="20" t="inlineStr">
        <is>
          <t>高</t>
        </is>
      </c>
      <c r="E9" s="20" t="inlineStr">
        <is>
          <t>錯誤訊息洩漏內部資訊</t>
        </is>
      </c>
      <c r="F9" s="20" t="inlineStr">
        <is>
          <t>ErrorHandling.cs</t>
        </is>
      </c>
      <c r="G9" s="20" t="inlineStr">
        <is>
          <t>觸發 500/DB 錯誤</t>
        </is>
      </c>
      <c r="H9" s="20" t="n"/>
      <c r="I9" s="20" t="inlineStr">
        <is>
          <t>Production 僅回傳代碼/TraceId，詳細寫入 log。</t>
        </is>
      </c>
      <c r="J9" s="20" t="inlineStr">
        <is>
          <t>待檢測</t>
        </is>
      </c>
      <c r="K9" s="20" t="n">
        <v>4</v>
      </c>
      <c r="L9" s="20" t="n"/>
      <c r="M9" s="20" t="inlineStr">
        <is>
          <t>未驗收</t>
        </is>
      </c>
      <c r="N9" s="20" t="n"/>
      <c r="O9" s="20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>
        <v>9</v>
      </c>
      <c r="B10" s="20" t="inlineStr">
        <is>
          <t>後端</t>
        </is>
      </c>
      <c r="C10" s="20" t="inlineStr">
        <is>
          <t>Logging</t>
        </is>
      </c>
      <c r="D10" s="20" t="inlineStr">
        <is>
          <t>高</t>
        </is>
      </c>
      <c r="E10" s="20" t="inlineStr">
        <is>
          <t>Log 保存敏感資料</t>
        </is>
      </c>
      <c r="F10" s="20" t="inlineStr">
        <is>
          <t>OperateLogMiddleware.cs、NLog.config</t>
        </is>
      </c>
      <c r="G10" s="20" t="inlineStr">
        <is>
          <t>登入/上傳/API request body 檢查</t>
        </is>
      </c>
      <c r="H10" s="20" t="n"/>
      <c r="I10" s="20" t="inlineStr">
        <is>
          <t>遮罩 password/token/cookie/Authorization。</t>
        </is>
      </c>
      <c r="J10" s="20" t="inlineStr">
        <is>
          <t>待檢測</t>
        </is>
      </c>
      <c r="K10" s="20" t="n">
        <v>4</v>
      </c>
      <c r="L10" s="20" t="n"/>
      <c r="M10" s="20" t="inlineStr">
        <is>
          <t>未驗收</t>
        </is>
      </c>
      <c r="N10" s="20" t="n"/>
      <c r="O10" s="20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20" t="n">
        <v>10</v>
      </c>
      <c r="B11" s="20" t="inlineStr">
        <is>
          <t>後端</t>
        </is>
      </c>
      <c r="C11" s="20" t="inlineStr">
        <is>
          <t>Cache</t>
        </is>
      </c>
      <c r="D11" s="20" t="inlineStr">
        <is>
          <t>高</t>
        </is>
      </c>
      <c r="E11" s="20" t="inlineStr">
        <is>
          <t>使用者資料被 OutputCache 快取</t>
        </is>
      </c>
      <c r="F11" s="20" t="inlineStr">
        <is>
          <t>Program.cs OutputCache policies</t>
        </is>
      </c>
      <c r="G11" s="20" t="inlineStr">
        <is>
          <t>不同帳號查詢後台 API</t>
        </is>
      </c>
      <c r="H11" s="20" t="n"/>
      <c r="I11" s="20" t="inlineStr">
        <is>
          <t>後台/私有資料禁用或依授權 Vary。</t>
        </is>
      </c>
      <c r="J11" s="20" t="inlineStr">
        <is>
          <t>待檢測</t>
        </is>
      </c>
      <c r="K11" s="20" t="n">
        <v>4</v>
      </c>
      <c r="L11" s="20" t="n"/>
      <c r="M11" s="20" t="inlineStr">
        <is>
          <t>未驗收</t>
        </is>
      </c>
      <c r="N11" s="20" t="n"/>
      <c r="O11" s="20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20" t="n">
        <v>11</v>
      </c>
      <c r="B12" s="20" t="inlineStr">
        <is>
          <t>後端</t>
        </is>
      </c>
      <c r="C12" s="20" t="inlineStr">
        <is>
          <t>Security Headers</t>
        </is>
      </c>
      <c r="D12" s="20" t="inlineStr">
        <is>
          <t>中</t>
        </is>
      </c>
      <c r="E12" s="20" t="inlineStr">
        <is>
          <t>安全標頭缺漏或衝突</t>
        </is>
      </c>
      <c r="F12" s="20" t="inlineStr">
        <is>
          <t>SecuritySetup.cs、web.config</t>
        </is>
      </c>
      <c r="G12" s="20" t="inlineStr">
        <is>
          <t>檢查 response headers</t>
        </is>
      </c>
      <c r="H12" s="20" t="n"/>
      <c r="I12" s="20" t="inlineStr">
        <is>
          <t>統一 HSTS、nosniff、frame、referrer、permissions。</t>
        </is>
      </c>
      <c r="J12" s="20" t="inlineStr">
        <is>
          <t>待檢測</t>
        </is>
      </c>
      <c r="K12" s="20" t="n">
        <v>2</v>
      </c>
      <c r="L12" s="20" t="n"/>
      <c r="M12" s="20" t="inlineStr">
        <is>
          <t>未驗收</t>
        </is>
      </c>
      <c r="N12" s="20" t="n"/>
      <c r="O12" s="20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20" t="n">
        <v>12</v>
      </c>
      <c r="B13" s="20" t="inlineStr">
        <is>
          <t>後端</t>
        </is>
      </c>
      <c r="C13" s="20" t="inlineStr">
        <is>
          <t>CORS</t>
        </is>
      </c>
      <c r="D13" s="20" t="inlineStr">
        <is>
          <t>高</t>
        </is>
      </c>
      <c r="E13" s="20" t="inlineStr">
        <is>
          <t>CORS 過寬</t>
        </is>
      </c>
      <c r="F13" s="20" t="inlineStr">
        <is>
          <t>SecuritySetup.cs、Program.cs</t>
        </is>
      </c>
      <c r="G13" s="20" t="inlineStr">
        <is>
          <t>跨來源打 API</t>
        </is>
      </c>
      <c r="H13" s="20" t="n"/>
      <c r="I13" s="20" t="inlineStr">
        <is>
          <t>限制正式網域與必要方法/header。</t>
        </is>
      </c>
      <c r="J13" s="20" t="inlineStr">
        <is>
          <t>待檢測</t>
        </is>
      </c>
      <c r="K13" s="20" t="n">
        <v>2</v>
      </c>
      <c r="L13" s="20" t="n"/>
      <c r="M13" s="20" t="inlineStr">
        <is>
          <t>未驗收</t>
        </is>
      </c>
      <c r="N13" s="20" t="n"/>
      <c r="O13" s="20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20" t="n">
        <v>13</v>
      </c>
      <c r="B14" s="20" t="inlineStr">
        <is>
          <t>後端</t>
        </is>
      </c>
      <c r="C14" s="20" t="inlineStr">
        <is>
          <t>Secrets</t>
        </is>
      </c>
      <c r="D14" s="20" t="inlineStr">
        <is>
          <t>高</t>
        </is>
      </c>
      <c r="E14" s="20" t="inlineStr">
        <is>
          <t>設定檔含機密</t>
        </is>
      </c>
      <c r="F14" s="20" t="inlineStr">
        <is>
          <t>appsettings*.json、.env.*</t>
        </is>
      </c>
      <c r="G14" s="20" t="inlineStr">
        <is>
          <t>掃描 connection string/token/password</t>
        </is>
      </c>
      <c r="H14" s="20" t="n"/>
      <c r="I14" s="20" t="inlineStr">
        <is>
          <t>改用環境變數/Secrets，不進版控。</t>
        </is>
      </c>
      <c r="J14" s="20" t="inlineStr">
        <is>
          <t>待檢測</t>
        </is>
      </c>
      <c r="K14" s="20" t="n">
        <v>2</v>
      </c>
      <c r="L14" s="20" t="n"/>
      <c r="M14" s="20" t="inlineStr">
        <is>
          <t>未驗收</t>
        </is>
      </c>
      <c r="N14" s="20" t="n"/>
      <c r="O14" s="20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20" t="n">
        <v>14</v>
      </c>
      <c r="B15" s="20" t="inlineStr">
        <is>
          <t>後端</t>
        </is>
      </c>
      <c r="C15" s="20" t="inlineStr">
        <is>
          <t>Supply Chain</t>
        </is>
      </c>
      <c r="D15" s="20" t="inlineStr">
        <is>
          <t>高</t>
        </is>
      </c>
      <c r="E15" s="20" t="inlineStr">
        <is>
          <t>NuGet 套件弱點</t>
        </is>
      </c>
      <c r="F15" s="20" t="inlineStr">
        <is>
          <t>WCMS.csproj</t>
        </is>
      </c>
      <c r="G15" s="20" t="inlineStr">
        <is>
          <t>dotnet list package --vulnerable</t>
        </is>
      </c>
      <c r="H15" s="20" t="n"/>
      <c r="I15" s="20" t="inlineStr">
        <is>
          <t>升級可相容版本並回歸測試。</t>
        </is>
      </c>
      <c r="J15" s="20" t="inlineStr">
        <is>
          <t>待檢測</t>
        </is>
      </c>
      <c r="K15" s="20" t="n">
        <v>4</v>
      </c>
      <c r="L15" s="20" t="n"/>
      <c r="M15" s="20" t="inlineStr">
        <is>
          <t>未驗收</t>
        </is>
      </c>
      <c r="N15" s="20" t="n"/>
      <c r="O15" s="20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20" t="n">
        <v>15</v>
      </c>
      <c r="B16" s="20" t="inlineStr">
        <is>
          <t>後端</t>
        </is>
      </c>
      <c r="C16" s="20" t="inlineStr">
        <is>
          <t>Swagger</t>
        </is>
      </c>
      <c r="D16" s="20" t="inlineStr">
        <is>
          <t>中</t>
        </is>
      </c>
      <c r="E16" s="20" t="inlineStr">
        <is>
          <t>正式環境 Swagger 暴露</t>
        </is>
      </c>
      <c r="F16" s="20" t="inlineStr">
        <is>
          <t>Program.cs</t>
        </is>
      </c>
      <c r="G16" s="20" t="inlineStr">
        <is>
          <t>Production 存取 /swagger</t>
        </is>
      </c>
      <c r="H16" s="20" t="n"/>
      <c r="I16" s="20" t="inlineStr">
        <is>
          <t>限制白名單、授權或關閉。</t>
        </is>
      </c>
      <c r="J16" s="20" t="inlineStr">
        <is>
          <t>待檢測</t>
        </is>
      </c>
      <c r="K16" s="20" t="n">
        <v>2</v>
      </c>
      <c r="L16" s="20" t="n"/>
      <c r="M16" s="20" t="inlineStr">
        <is>
          <t>未驗收</t>
        </is>
      </c>
      <c r="N16" s="20" t="n"/>
      <c r="O16" s="20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20" t="n">
        <v>16</v>
      </c>
      <c r="B17" s="20" t="inlineStr">
        <is>
          <t>前端</t>
        </is>
      </c>
      <c r="C17" s="20" t="inlineStr">
        <is>
          <t>XSS</t>
        </is>
      </c>
      <c r="D17" s="20" t="inlineStr">
        <is>
          <t>高</t>
        </is>
      </c>
      <c r="E17" s="20" t="inlineStr">
        <is>
          <t>dangerouslySetInnerHTML 未淨化</t>
        </is>
      </c>
      <c r="F17" s="20" t="inlineStr">
        <is>
          <t>src/**/*.tsx</t>
        </is>
      </c>
      <c r="G17" s="20" t="inlineStr">
        <is>
          <t>rg dangerouslySetInnerHTML / innerHTML</t>
        </is>
      </c>
      <c r="H17" s="20" t="n"/>
      <c r="I17" s="20" t="inlineStr">
        <is>
          <t>封裝安全 HTML 元件，統一 sanitize。</t>
        </is>
      </c>
      <c r="J17" s="20" t="inlineStr">
        <is>
          <t>待檢測</t>
        </is>
      </c>
      <c r="K17" s="20" t="n">
        <v>8</v>
      </c>
      <c r="L17" s="20" t="n"/>
      <c r="M17" s="20" t="inlineStr">
        <is>
          <t>未驗收</t>
        </is>
      </c>
      <c r="N17" s="20" t="n"/>
      <c r="O17" s="20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20" t="n">
        <v>17</v>
      </c>
      <c r="B18" s="20" t="inlineStr">
        <is>
          <t>前端</t>
        </is>
      </c>
      <c r="C18" s="20" t="inlineStr">
        <is>
          <t>XSS</t>
        </is>
      </c>
      <c r="D18" s="20" t="inlineStr">
        <is>
          <t>高</t>
        </is>
      </c>
      <c r="E18" s="20" t="inlineStr">
        <is>
          <t>SSR initial state 注入風險</t>
        </is>
      </c>
      <c r="F18" s="20" t="inlineStr">
        <is>
          <t>src/SSR/Entry-Client.tsx、Entry-Server.tsx</t>
        </is>
      </c>
      <c r="G18" s="20" t="inlineStr">
        <is>
          <t>特殊字元資料 SSR 渲染</t>
        </is>
      </c>
      <c r="H18" s="20" t="n"/>
      <c r="I18" s="20" t="inlineStr">
        <is>
          <t>JSON escape，避免 inline script。</t>
        </is>
      </c>
      <c r="J18" s="20" t="inlineStr">
        <is>
          <t>待檢測</t>
        </is>
      </c>
      <c r="K18" s="20" t="n">
        <v>4</v>
      </c>
      <c r="L18" s="20" t="n"/>
      <c r="M18" s="20" t="inlineStr">
        <is>
          <t>未驗收</t>
        </is>
      </c>
      <c r="N18" s="20" t="n"/>
      <c r="O18" s="20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20" t="n">
        <v>18</v>
      </c>
      <c r="B19" s="20" t="inlineStr">
        <is>
          <t>前端</t>
        </is>
      </c>
      <c r="C19" s="20" t="inlineStr">
        <is>
          <t>CSP</t>
        </is>
      </c>
      <c r="D19" s="20" t="inlineStr">
        <is>
          <t>高</t>
        </is>
      </c>
      <c r="E19" s="20" t="inlineStr">
        <is>
          <t>CSP 過寬或功能衝突</t>
        </is>
      </c>
      <c r="F19" s="20" t="inlineStr">
        <is>
          <t>src/SSR/CSPSetting.ts</t>
        </is>
      </c>
      <c r="G19" s="20" t="inlineStr">
        <is>
          <t>掃描 CSP header 與 TinyMCE/Turnstile</t>
        </is>
      </c>
      <c r="H19" s="20" t="n"/>
      <c r="I19" s="20" t="inlineStr">
        <is>
          <t>最小白名單並保留必要功能。</t>
        </is>
      </c>
      <c r="J19" s="20" t="inlineStr">
        <is>
          <t>待檢測</t>
        </is>
      </c>
      <c r="K19" s="20" t="n">
        <v>4</v>
      </c>
      <c r="L19" s="20" t="n"/>
      <c r="M19" s="20" t="inlineStr">
        <is>
          <t>未驗收</t>
        </is>
      </c>
      <c r="N19" s="20" t="n"/>
      <c r="O19" s="20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20" t="n">
        <v>19</v>
      </c>
      <c r="B20" s="20" t="inlineStr">
        <is>
          <t>前端</t>
        </is>
      </c>
      <c r="C20" s="20" t="inlineStr">
        <is>
          <t>Trusted Types</t>
        </is>
      </c>
      <c r="D20" s="20" t="inlineStr">
        <is>
          <t>中</t>
        </is>
      </c>
      <c r="E20" s="20" t="inlineStr">
        <is>
          <t>Trusted Types policy 過寬</t>
        </is>
      </c>
      <c r="F20" s="20" t="inlineStr">
        <is>
          <t>TrustedTypesPolicy.ts</t>
        </is>
      </c>
      <c r="G20" s="20" t="inlineStr">
        <is>
          <t>檢查 createHTML/createScriptURL 邏輯</t>
        </is>
      </c>
      <c r="H20" s="20" t="n"/>
      <c r="I20" s="20" t="inlineStr">
        <is>
          <t>限制來源與用途，避免全域放行。</t>
        </is>
      </c>
      <c r="J20" s="20" t="inlineStr">
        <is>
          <t>待檢測</t>
        </is>
      </c>
      <c r="K20" s="20" t="n">
        <v>4</v>
      </c>
      <c r="L20" s="20" t="n"/>
      <c r="M20" s="20" t="inlineStr">
        <is>
          <t>未驗收</t>
        </is>
      </c>
      <c r="N20" s="20" t="n"/>
      <c r="O20" s="20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20" t="n">
        <v>20</v>
      </c>
      <c r="B21" s="20" t="inlineStr">
        <is>
          <t>前端</t>
        </is>
      </c>
      <c r="C21" s="20" t="inlineStr">
        <is>
          <t>Token Storage</t>
        </is>
      </c>
      <c r="D21" s="20" t="inlineStr">
        <is>
          <t>高</t>
        </is>
      </c>
      <c r="E21" s="20" t="inlineStr">
        <is>
          <t>Token 存在 localStorage/sessionStorage</t>
        </is>
      </c>
      <c r="F21" s="20" t="inlineStr">
        <is>
          <t>src/**/*.ts*、APIClient</t>
        </is>
      </c>
      <c r="G21" s="20" t="inlineStr">
        <is>
          <t>rg localStorage/sessionStorage/token</t>
        </is>
      </c>
      <c r="H21" s="20" t="n"/>
      <c r="I21" s="20" t="inlineStr">
        <is>
          <t>改 HttpOnly Cookie 或嚴格封裝保存策略。</t>
        </is>
      </c>
      <c r="J21" s="20" t="inlineStr">
        <is>
          <t>待檢測</t>
        </is>
      </c>
      <c r="K21" s="20" t="n">
        <v>4</v>
      </c>
      <c r="L21" s="20" t="n"/>
      <c r="M21" s="20" t="inlineStr">
        <is>
          <t>未驗收</t>
        </is>
      </c>
      <c r="N21" s="20" t="n"/>
      <c r="O21" s="20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20" t="n">
        <v>21</v>
      </c>
      <c r="B22" s="20" t="inlineStr">
        <is>
          <t>前端</t>
        </is>
      </c>
      <c r="C22" s="20" t="inlineStr">
        <is>
          <t>Open Redirect</t>
        </is>
      </c>
      <c r="D22" s="20" t="inlineStr">
        <is>
          <t>高</t>
        </is>
      </c>
      <c r="E22" s="20" t="inlineStr">
        <is>
          <t>外部連結跳轉未限制</t>
        </is>
      </c>
      <c r="F22" s="20" t="inlineStr">
        <is>
          <t>Menu/WebResource/Announcement</t>
        </is>
      </c>
      <c r="G22" s="20" t="inlineStr">
        <is>
          <t>可控 URL 跳轉測試</t>
        </is>
      </c>
      <c r="H22" s="20" t="n"/>
      <c r="I22" s="20" t="inlineStr">
        <is>
          <t>外部連結白名單、rel=noopener、提示策略。</t>
        </is>
      </c>
      <c r="J22" s="20" t="inlineStr">
        <is>
          <t>待檢測</t>
        </is>
      </c>
      <c r="K22" s="20" t="n">
        <v>4</v>
      </c>
      <c r="L22" s="20" t="n"/>
      <c r="M22" s="20" t="inlineStr">
        <is>
          <t>未驗收</t>
        </is>
      </c>
      <c r="N22" s="20" t="n"/>
      <c r="O22" s="20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20" t="n">
        <v>22</v>
      </c>
      <c r="B23" s="20" t="inlineStr">
        <is>
          <t>前端</t>
        </is>
      </c>
      <c r="C23" s="20" t="inlineStr">
        <is>
          <t>A11y Security</t>
        </is>
      </c>
      <c r="D23" s="20" t="inlineStr">
        <is>
          <t>中</t>
        </is>
      </c>
      <c r="E23" s="20" t="inlineStr">
        <is>
          <t>檔案/表單 AA 與安全規則衝突</t>
        </is>
      </c>
      <c r="F23" s="20" t="inlineStr">
        <is>
          <t>AAInputs、EditGrid、FileInput</t>
        </is>
      </c>
      <c r="G23" s="20" t="inlineStr">
        <is>
          <t>鍵盤操作與錯誤提示測試</t>
        </is>
      </c>
      <c r="H23" s="20" t="n"/>
      <c r="I23" s="20" t="inlineStr">
        <is>
          <t>建立共用 AA 表單驗證與檔案限制。</t>
        </is>
      </c>
      <c r="J23" s="20" t="inlineStr">
        <is>
          <t>待檢測</t>
        </is>
      </c>
      <c r="K23" s="20" t="n">
        <v>4</v>
      </c>
      <c r="L23" s="20" t="n"/>
      <c r="M23" s="20" t="inlineStr">
        <is>
          <t>未驗收</t>
        </is>
      </c>
      <c r="N23" s="20" t="n"/>
      <c r="O23" s="20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20" t="n">
        <v>23</v>
      </c>
      <c r="B24" s="20" t="inlineStr">
        <is>
          <t>前端</t>
        </is>
      </c>
      <c r="C24" s="20" t="inlineStr">
        <is>
          <t>Upload</t>
        </is>
      </c>
      <c r="D24" s="20" t="inlineStr">
        <is>
          <t>高</t>
        </is>
      </c>
      <c r="E24" s="20" t="inlineStr">
        <is>
          <t>前端只檢副檔名導致誤判</t>
        </is>
      </c>
      <c r="F24" s="20" t="inlineStr">
        <is>
          <t>useUploadFile.ts</t>
        </is>
      </c>
      <c r="G24" s="20" t="inlineStr">
        <is>
          <t>修改副檔名上傳</t>
        </is>
      </c>
      <c r="H24" s="20" t="n"/>
      <c r="I24" s="20" t="inlineStr">
        <is>
          <t>前端只提示，後端作最終檢查。</t>
        </is>
      </c>
      <c r="J24" s="20" t="inlineStr">
        <is>
          <t>待檢測</t>
        </is>
      </c>
      <c r="K24" s="20" t="n">
        <v>2</v>
      </c>
      <c r="L24" s="20" t="n"/>
      <c r="M24" s="20" t="inlineStr">
        <is>
          <t>未驗收</t>
        </is>
      </c>
      <c r="N24" s="20" t="n"/>
      <c r="O24" s="20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20" t="n">
        <v>24</v>
      </c>
      <c r="B25" s="20" t="inlineStr">
        <is>
          <t>前端</t>
        </is>
      </c>
      <c r="C25" s="20" t="inlineStr">
        <is>
          <t>Supply Chain</t>
        </is>
      </c>
      <c r="D25" s="20" t="inlineStr">
        <is>
          <t>高</t>
        </is>
      </c>
      <c r="E25" s="20" t="inlineStr">
        <is>
          <t>npm 套件弱點</t>
        </is>
      </c>
      <c r="F25" s="20" t="inlineStr">
        <is>
          <t>package.json、package-lock.json</t>
        </is>
      </c>
      <c r="G25" s="20" t="inlineStr">
        <is>
          <t>npm audit / osv scanner</t>
        </is>
      </c>
      <c r="H25" s="20" t="n"/>
      <c r="I25" s="20" t="inlineStr">
        <is>
          <t>升級依賴並做 SSR/TinyMCE 回歸。</t>
        </is>
      </c>
      <c r="J25" s="20" t="inlineStr">
        <is>
          <t>待檢測</t>
        </is>
      </c>
      <c r="K25" s="20" t="n">
        <v>4</v>
      </c>
      <c r="L25" s="20" t="n"/>
      <c r="M25" s="20" t="inlineStr">
        <is>
          <t>未驗收</t>
        </is>
      </c>
      <c r="N25" s="20" t="n"/>
      <c r="O25" s="20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20" t="n">
        <v>25</v>
      </c>
      <c r="B26" s="20" t="inlineStr">
        <is>
          <t>前端</t>
        </is>
      </c>
      <c r="C26" s="20" t="inlineStr">
        <is>
          <t>SSR</t>
        </is>
      </c>
      <c r="D26" s="20" t="inlineStr">
        <is>
          <t>高</t>
        </is>
      </c>
      <c r="E26" s="20" t="inlineStr">
        <is>
          <t>Hydration mismatch 導致重複渲染/資料錯位</t>
        </is>
      </c>
      <c r="F26" s="20" t="inlineStr">
        <is>
          <t>Entry-Client.tsx、Client_* Loader</t>
        </is>
      </c>
      <c r="G26" s="20" t="inlineStr">
        <is>
          <t>SSR/CSR 切頁與重整測試</t>
        </is>
      </c>
      <c r="H26" s="20" t="n"/>
      <c r="I26" s="20" t="inlineStr">
        <is>
          <t>統一 hydrationData 與 CSR fallback。</t>
        </is>
      </c>
      <c r="J26" s="20" t="inlineStr">
        <is>
          <t>待檢測</t>
        </is>
      </c>
      <c r="K26" s="20" t="n">
        <v>4</v>
      </c>
      <c r="L26" s="20" t="n"/>
      <c r="M26" s="20" t="inlineStr">
        <is>
          <t>未驗收</t>
        </is>
      </c>
      <c r="N26" s="20" t="n"/>
      <c r="O26" s="20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20" t="n">
        <v>26</v>
      </c>
      <c r="B27" s="20" t="inlineStr">
        <is>
          <t>前端</t>
        </is>
      </c>
      <c r="C27" s="20" t="inlineStr">
        <is>
          <t>Privacy</t>
        </is>
      </c>
      <c r="D27" s="20" t="inlineStr">
        <is>
          <t>中</t>
        </is>
      </c>
      <c r="E27" s="20" t="inlineStr">
        <is>
          <t>console log 輸出敏感資料</t>
        </is>
      </c>
      <c r="F27" s="20" t="inlineStr">
        <is>
          <t>src/**/*.ts*</t>
        </is>
      </c>
      <c r="G27" s="20" t="inlineStr">
        <is>
          <t>rg console.log/error</t>
        </is>
      </c>
      <c r="H27" s="20" t="n"/>
      <c r="I27" s="20" t="inlineStr">
        <is>
          <t>Production 移除或遮罩敏感資訊。</t>
        </is>
      </c>
      <c r="J27" s="20" t="inlineStr">
        <is>
          <t>待檢測</t>
        </is>
      </c>
      <c r="K27" s="20" t="n">
        <v>2</v>
      </c>
      <c r="L27" s="20" t="n"/>
      <c r="M27" s="20" t="inlineStr">
        <is>
          <t>未驗收</t>
        </is>
      </c>
      <c r="N27" s="20" t="n"/>
      <c r="O27" s="20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20" t="n">
        <v>27</v>
      </c>
      <c r="B28" s="20" t="inlineStr">
        <is>
          <t>前後端</t>
        </is>
      </c>
      <c r="C28" s="20" t="inlineStr">
        <is>
          <t>CSRF</t>
        </is>
      </c>
      <c r="D28" s="20" t="inlineStr">
        <is>
          <t>高</t>
        </is>
      </c>
      <c r="E28" s="20" t="inlineStr">
        <is>
          <t>Cookie-based API 缺 CSRF 防護</t>
        </is>
      </c>
      <c r="F28" s="20" t="inlineStr">
        <is>
          <t>Frontend fetch credentials include、Backend JWT/Cookie</t>
        </is>
      </c>
      <c r="G28" s="20" t="inlineStr">
        <is>
          <t>跨站表單/請求測試</t>
        </is>
      </c>
      <c r="H28" s="20" t="n"/>
      <c r="I28" s="20" t="inlineStr">
        <is>
          <t>確認 token 模式；Cookie 模式加 SameSite/CSRF token。</t>
        </is>
      </c>
      <c r="J28" s="20" t="inlineStr">
        <is>
          <t>待檢測</t>
        </is>
      </c>
      <c r="K28" s="20" t="n">
        <v>4</v>
      </c>
      <c r="L28" s="20" t="n"/>
      <c r="M28" s="20" t="inlineStr">
        <is>
          <t>未驗收</t>
        </is>
      </c>
      <c r="N28" s="20" t="n"/>
      <c r="O28" s="20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20" t="n">
        <v>28</v>
      </c>
      <c r="B29" s="20" t="inlineStr">
        <is>
          <t>前後端</t>
        </is>
      </c>
      <c r="C29" s="20" t="inlineStr">
        <is>
          <t>Data Integrity</t>
        </is>
      </c>
      <c r="D29" s="20" t="inlineStr">
        <is>
          <t>高</t>
        </is>
      </c>
      <c r="E29" s="20" t="inlineStr">
        <is>
          <t>前端控制未來公告日期造成繞過</t>
        </is>
      </c>
      <c r="F29" s="20" t="inlineStr">
        <is>
          <t>Announcement list/detail API</t>
        </is>
      </c>
      <c r="G29" s="20" t="inlineStr">
        <is>
          <t>修改客戶端時間測試</t>
        </is>
      </c>
      <c r="H29" s="20" t="n"/>
      <c r="I29" s="20" t="inlineStr">
        <is>
          <t>移到後端依伺服器時間過濾。</t>
        </is>
      </c>
      <c r="J29" s="20" t="inlineStr">
        <is>
          <t>待檢測</t>
        </is>
      </c>
      <c r="K29" s="20" t="n">
        <v>4</v>
      </c>
      <c r="L29" s="20" t="n"/>
      <c r="M29" s="20" t="inlineStr">
        <is>
          <t>未驗收</t>
        </is>
      </c>
      <c r="N29" s="20" t="n"/>
      <c r="O29" s="20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20" t="n">
        <v>29</v>
      </c>
      <c r="B30" s="20" t="inlineStr">
        <is>
          <t>前後端</t>
        </is>
      </c>
      <c r="C30" s="20" t="inlineStr">
        <is>
          <t>Business Logic</t>
        </is>
      </c>
      <c r="D30" s="20" t="inlineStr">
        <is>
          <t>中</t>
        </is>
      </c>
      <c r="E30" s="20" t="inlineStr">
        <is>
          <t>下載/瀏覽次數可被濫刷</t>
        </is>
      </c>
      <c r="F30" s="20" t="inlineStr">
        <is>
          <t>ViewCount/FileArchive/Announcement</t>
        </is>
      </c>
      <c r="G30" s="20" t="inlineStr">
        <is>
          <t>連續重複點擊</t>
        </is>
      </c>
      <c r="H30" s="20" t="n"/>
      <c r="I30" s="20" t="inlineStr">
        <is>
          <t>去重策略、節流、記錄異常流量。</t>
        </is>
      </c>
      <c r="J30" s="20" t="inlineStr">
        <is>
          <t>待檢測</t>
        </is>
      </c>
      <c r="K30" s="20" t="n">
        <v>4</v>
      </c>
      <c r="L30" s="20" t="n"/>
      <c r="M30" s="20" t="inlineStr">
        <is>
          <t>未驗收</t>
        </is>
      </c>
      <c r="N30" s="20" t="n"/>
      <c r="O30" s="20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20" t="n">
        <v>30</v>
      </c>
      <c r="B31" s="20" t="inlineStr">
        <is>
          <t>前後端</t>
        </is>
      </c>
      <c r="C31" s="20" t="inlineStr">
        <is>
          <t>I18n</t>
        </is>
      </c>
      <c r="D31" s="20" t="inlineStr">
        <is>
          <t>中</t>
        </is>
      </c>
      <c r="E31" s="20" t="inlineStr">
        <is>
          <t>多語系資料語意錯位</t>
        </is>
      </c>
      <c r="F31" s="20" t="inlineStr">
        <is>
          <t>i18n resources、Form detail</t>
        </is>
      </c>
      <c r="G31" s="20" t="inlineStr">
        <is>
          <t>切換語系與編輯明細</t>
        </is>
      </c>
      <c r="H31" s="20" t="n"/>
      <c r="I31" s="20" t="inlineStr">
        <is>
          <t>建立語系明細綁定與驗證規則。</t>
        </is>
      </c>
      <c r="J31" s="20" t="inlineStr">
        <is>
          <t>待檢測</t>
        </is>
      </c>
      <c r="K31" s="20" t="n">
        <v>4</v>
      </c>
      <c r="L31" s="20" t="n"/>
      <c r="M31" s="20" t="inlineStr">
        <is>
          <t>未驗收</t>
        </is>
      </c>
      <c r="N31" s="20" t="n"/>
      <c r="O31" s="20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20" t="n">
        <v>31</v>
      </c>
      <c r="B32" s="20" t="inlineStr">
        <is>
          <t>中後期</t>
        </is>
      </c>
      <c r="C32" s="20" t="inlineStr">
        <is>
          <t>GraphQL</t>
        </is>
      </c>
      <c r="D32" s="20" t="inlineStr">
        <is>
          <t>中</t>
        </is>
      </c>
      <c r="E32" s="20" t="inlineStr">
        <is>
          <t>GraphQL 權限/深度未規劃</t>
        </is>
      </c>
      <c r="F32" s="20" t="inlineStr">
        <is>
          <t>Future GraphQL layer</t>
        </is>
      </c>
      <c r="G32" s="20" t="inlineStr">
        <is>
          <t>架構審查</t>
        </is>
      </c>
      <c r="H32" s="20" t="n"/>
      <c r="I32" s="20" t="inlineStr">
        <is>
          <t>導入 depth limit、complexity、field auth。</t>
        </is>
      </c>
      <c r="J32" s="20" t="inlineStr">
        <is>
          <t>待檢測</t>
        </is>
      </c>
      <c r="K32" s="20" t="n">
        <v>8</v>
      </c>
      <c r="L32" s="20" t="n"/>
      <c r="M32" s="20" t="inlineStr">
        <is>
          <t>未驗收</t>
        </is>
      </c>
      <c r="N32" s="20" t="n"/>
      <c r="O32" s="20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20" t="n">
        <v>32</v>
      </c>
      <c r="B33" s="20" t="inlineStr">
        <is>
          <t>中後期</t>
        </is>
      </c>
      <c r="C33" s="20" t="inlineStr">
        <is>
          <t>Redis</t>
        </is>
      </c>
      <c r="D33" s="20" t="inlineStr">
        <is>
          <t>中</t>
        </is>
      </c>
      <c r="E33" s="20" t="inlineStr">
        <is>
          <t>Redis 未設安全連線/命名空間</t>
        </is>
      </c>
      <c r="F33" s="20" t="inlineStr">
        <is>
          <t>appsettings RedisConnection、Program.cs</t>
        </is>
      </c>
      <c r="G33" s="20" t="inlineStr">
        <is>
          <t>部署設定審查</t>
        </is>
      </c>
      <c r="H33" s="20" t="n"/>
      <c r="I33" s="20" t="inlineStr">
        <is>
          <t>設定密碼/TLS/namespace/TTL。</t>
        </is>
      </c>
      <c r="J33" s="20" t="inlineStr">
        <is>
          <t>待檢測</t>
        </is>
      </c>
      <c r="K33" s="20" t="n">
        <v>8</v>
      </c>
      <c r="L33" s="20" t="n"/>
      <c r="M33" s="20" t="inlineStr">
        <is>
          <t>未驗收</t>
        </is>
      </c>
      <c r="N33" s="20" t="n"/>
      <c r="O33" s="20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20" t="n">
        <v>33</v>
      </c>
      <c r="B34" s="20" t="inlineStr">
        <is>
          <t>中後期</t>
        </is>
      </c>
      <c r="C34" s="20" t="inlineStr">
        <is>
          <t>Docker</t>
        </is>
      </c>
      <c r="D34" s="20" t="inlineStr">
        <is>
          <t>中</t>
        </is>
      </c>
      <c r="E34" s="20" t="inlineStr">
        <is>
          <t>Docker image / volume 權限風險</t>
        </is>
      </c>
      <c r="F34" s="20" t="inlineStr">
        <is>
          <t>未來 Dockerfile/compose</t>
        </is>
      </c>
      <c r="G34" s="20" t="inlineStr">
        <is>
          <t>部署前檢測</t>
        </is>
      </c>
      <c r="H34" s="20" t="n"/>
      <c r="I34" s="20" t="inlineStr">
        <is>
          <t>非 root、secrets、volume 權限、healthcheck。</t>
        </is>
      </c>
      <c r="J34" s="20" t="inlineStr">
        <is>
          <t>待檢測</t>
        </is>
      </c>
      <c r="K34" s="20" t="n">
        <v>8</v>
      </c>
      <c r="L34" s="20" t="n"/>
      <c r="M34" s="20" t="inlineStr">
        <is>
          <t>未驗收</t>
        </is>
      </c>
      <c r="N34" s="20" t="n"/>
      <c r="O34" s="20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20" t="n">
        <v>34</v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inlineStr">
        <is>
          <t>待檢測</t>
        </is>
      </c>
      <c r="K35" s="20" t="n"/>
      <c r="L35" s="20" t="n"/>
      <c r="M35" s="20" t="inlineStr">
        <is>
          <t>未驗收</t>
        </is>
      </c>
      <c r="N35" s="20" t="n"/>
      <c r="O35" s="20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20" t="n">
        <v>35</v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inlineStr">
        <is>
          <t>待檢測</t>
        </is>
      </c>
      <c r="K36" s="20" t="n"/>
      <c r="L36" s="20" t="n"/>
      <c r="M36" s="20" t="inlineStr">
        <is>
          <t>未驗收</t>
        </is>
      </c>
      <c r="N36" s="20" t="n"/>
      <c r="O36" s="20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20" t="n">
        <v>36</v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inlineStr">
        <is>
          <t>待檢測</t>
        </is>
      </c>
      <c r="K37" s="20" t="n"/>
      <c r="L37" s="20" t="n"/>
      <c r="M37" s="20" t="inlineStr">
        <is>
          <t>未驗收</t>
        </is>
      </c>
      <c r="N37" s="20" t="n"/>
      <c r="O37" s="20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20" t="n">
        <v>37</v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inlineStr">
        <is>
          <t>待檢測</t>
        </is>
      </c>
      <c r="K38" s="20" t="n"/>
      <c r="L38" s="20" t="n"/>
      <c r="M38" s="20" t="inlineStr">
        <is>
          <t>未驗收</t>
        </is>
      </c>
      <c r="N38" s="20" t="n"/>
      <c r="O38" s="20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20" t="n">
        <v>38</v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待檢測</t>
        </is>
      </c>
      <c r="K39" s="20" t="n"/>
      <c r="L39" s="20" t="n"/>
      <c r="M39" s="20" t="inlineStr">
        <is>
          <t>未驗收</t>
        </is>
      </c>
      <c r="N39" s="20" t="n"/>
      <c r="O39" s="20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20" t="n">
        <v>39</v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inlineStr">
        <is>
          <t>待檢測</t>
        </is>
      </c>
      <c r="K40" s="20" t="n"/>
      <c r="L40" s="20" t="n"/>
      <c r="M40" s="20" t="inlineStr">
        <is>
          <t>未驗收</t>
        </is>
      </c>
      <c r="N40" s="20" t="n"/>
      <c r="O40" s="20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20" t="n">
        <v>40</v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inlineStr">
        <is>
          <t>待檢測</t>
        </is>
      </c>
      <c r="K41" s="20" t="n"/>
      <c r="L41" s="20" t="n"/>
      <c r="M41" s="20" t="inlineStr">
        <is>
          <t>未驗收</t>
        </is>
      </c>
      <c r="N41" s="20" t="n"/>
      <c r="O41" s="20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20" t="n">
        <v>41</v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inlineStr">
        <is>
          <t>待檢測</t>
        </is>
      </c>
      <c r="K42" s="20" t="n"/>
      <c r="L42" s="20" t="n"/>
      <c r="M42" s="20" t="inlineStr">
        <is>
          <t>未驗收</t>
        </is>
      </c>
      <c r="N42" s="20" t="n"/>
      <c r="O42" s="20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20" t="n">
        <v>42</v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inlineStr">
        <is>
          <t>待檢測</t>
        </is>
      </c>
      <c r="K43" s="20" t="n"/>
      <c r="L43" s="20" t="n"/>
      <c r="M43" s="20" t="inlineStr">
        <is>
          <t>未驗收</t>
        </is>
      </c>
      <c r="N43" s="20" t="n"/>
      <c r="O43" s="20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20" t="n">
        <v>43</v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inlineStr">
        <is>
          <t>待檢測</t>
        </is>
      </c>
      <c r="K44" s="20" t="n"/>
      <c r="L44" s="20" t="n"/>
      <c r="M44" s="20" t="inlineStr">
        <is>
          <t>未驗收</t>
        </is>
      </c>
      <c r="N44" s="20" t="n"/>
      <c r="O44" s="20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20" t="n">
        <v>44</v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inlineStr">
        <is>
          <t>待檢測</t>
        </is>
      </c>
      <c r="K45" s="20" t="n"/>
      <c r="L45" s="20" t="n"/>
      <c r="M45" s="20" t="inlineStr">
        <is>
          <t>未驗收</t>
        </is>
      </c>
      <c r="N45" s="20" t="n"/>
      <c r="O45" s="20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20" t="n">
        <v>45</v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inlineStr">
        <is>
          <t>待檢測</t>
        </is>
      </c>
      <c r="K46" s="20" t="n"/>
      <c r="L46" s="20" t="n"/>
      <c r="M46" s="20" t="inlineStr">
        <is>
          <t>未驗收</t>
        </is>
      </c>
      <c r="N46" s="20" t="n"/>
      <c r="O46" s="20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20" t="n">
        <v>46</v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inlineStr">
        <is>
          <t>待檢測</t>
        </is>
      </c>
      <c r="K47" s="20" t="n"/>
      <c r="L47" s="20" t="n"/>
      <c r="M47" s="20" t="inlineStr">
        <is>
          <t>未驗收</t>
        </is>
      </c>
      <c r="N47" s="20" t="n"/>
      <c r="O47" s="20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20" t="n">
        <v>47</v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inlineStr">
        <is>
          <t>待檢測</t>
        </is>
      </c>
      <c r="K48" s="20" t="n"/>
      <c r="L48" s="20" t="n"/>
      <c r="M48" s="20" t="inlineStr">
        <is>
          <t>未驗收</t>
        </is>
      </c>
      <c r="N48" s="20" t="n"/>
      <c r="O48" s="20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20" t="n">
        <v>48</v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inlineStr">
        <is>
          <t>待檢測</t>
        </is>
      </c>
      <c r="K49" s="20" t="n"/>
      <c r="L49" s="20" t="n"/>
      <c r="M49" s="20" t="inlineStr">
        <is>
          <t>未驗收</t>
        </is>
      </c>
      <c r="N49" s="20" t="n"/>
      <c r="O49" s="20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20" t="n">
        <v>49</v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inlineStr">
        <is>
          <t>待檢測</t>
        </is>
      </c>
      <c r="K50" s="20" t="n"/>
      <c r="L50" s="20" t="n"/>
      <c r="M50" s="20" t="inlineStr">
        <is>
          <t>未驗收</t>
        </is>
      </c>
      <c r="N50" s="20" t="n"/>
      <c r="O50" s="20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20" t="n">
        <v>50</v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inlineStr">
        <is>
          <t>待檢測</t>
        </is>
      </c>
      <c r="K51" s="20" t="n"/>
      <c r="L51" s="20" t="n"/>
      <c r="M51" s="20" t="inlineStr">
        <is>
          <t>未驗收</t>
        </is>
      </c>
      <c r="N51" s="20" t="n"/>
      <c r="O51" s="20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20" t="n">
        <v>51</v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inlineStr">
        <is>
          <t>待檢測</t>
        </is>
      </c>
      <c r="K52" s="20" t="n"/>
      <c r="L52" s="20" t="n"/>
      <c r="M52" s="20" t="inlineStr">
        <is>
          <t>未驗收</t>
        </is>
      </c>
      <c r="N52" s="20" t="n"/>
      <c r="O52" s="20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20" t="n">
        <v>52</v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inlineStr">
        <is>
          <t>待檢測</t>
        </is>
      </c>
      <c r="K53" s="20" t="n"/>
      <c r="L53" s="20" t="n"/>
      <c r="M53" s="20" t="inlineStr">
        <is>
          <t>未驗收</t>
        </is>
      </c>
      <c r="N53" s="20" t="n"/>
      <c r="O53" s="20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20" t="n">
        <v>53</v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inlineStr">
        <is>
          <t>待檢測</t>
        </is>
      </c>
      <c r="K54" s="20" t="n"/>
      <c r="L54" s="20" t="n"/>
      <c r="M54" s="20" t="inlineStr">
        <is>
          <t>未驗收</t>
        </is>
      </c>
      <c r="N54" s="20" t="n"/>
      <c r="O54" s="20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20" t="n">
        <v>54</v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inlineStr">
        <is>
          <t>待檢測</t>
        </is>
      </c>
      <c r="K55" s="20" t="n"/>
      <c r="L55" s="20" t="n"/>
      <c r="M55" s="20" t="inlineStr">
        <is>
          <t>未驗收</t>
        </is>
      </c>
      <c r="N55" s="20" t="n"/>
      <c r="O55" s="20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20" t="n">
        <v>55</v>
      </c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inlineStr">
        <is>
          <t>待檢測</t>
        </is>
      </c>
      <c r="K56" s="20" t="n"/>
      <c r="L56" s="20" t="n"/>
      <c r="M56" s="20" t="inlineStr">
        <is>
          <t>未驗收</t>
        </is>
      </c>
      <c r="N56" s="20" t="n"/>
      <c r="O56" s="20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20" t="n">
        <v>56</v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inlineStr">
        <is>
          <t>待檢測</t>
        </is>
      </c>
      <c r="K57" s="20" t="n"/>
      <c r="L57" s="20" t="n"/>
      <c r="M57" s="20" t="inlineStr">
        <is>
          <t>未驗收</t>
        </is>
      </c>
      <c r="N57" s="20" t="n"/>
      <c r="O57" s="20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20" t="n">
        <v>57</v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inlineStr">
        <is>
          <t>待檢測</t>
        </is>
      </c>
      <c r="K58" s="20" t="n"/>
      <c r="L58" s="20" t="n"/>
      <c r="M58" s="20" t="inlineStr">
        <is>
          <t>未驗收</t>
        </is>
      </c>
      <c r="N58" s="20" t="n"/>
      <c r="O58" s="20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20" t="n">
        <v>58</v>
      </c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inlineStr">
        <is>
          <t>待檢測</t>
        </is>
      </c>
      <c r="K59" s="20" t="n"/>
      <c r="L59" s="20" t="n"/>
      <c r="M59" s="20" t="inlineStr">
        <is>
          <t>未驗收</t>
        </is>
      </c>
      <c r="N59" s="20" t="n"/>
      <c r="O59" s="20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20" t="n">
        <v>59</v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inlineStr">
        <is>
          <t>待檢測</t>
        </is>
      </c>
      <c r="K60" s="20" t="n"/>
      <c r="L60" s="20" t="n"/>
      <c r="M60" s="20" t="inlineStr">
        <is>
          <t>未驗收</t>
        </is>
      </c>
      <c r="N60" s="20" t="n"/>
      <c r="O60" s="20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20" t="n">
        <v>60</v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inlineStr">
        <is>
          <t>待檢測</t>
        </is>
      </c>
      <c r="K61" s="20" t="n"/>
      <c r="L61" s="20" t="n"/>
      <c r="M61" s="20" t="inlineStr">
        <is>
          <t>未驗收</t>
        </is>
      </c>
      <c r="N61" s="20" t="n"/>
      <c r="O61" s="20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20" t="n">
        <v>61</v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inlineStr">
        <is>
          <t>待檢測</t>
        </is>
      </c>
      <c r="K62" s="20" t="n"/>
      <c r="L62" s="20" t="n"/>
      <c r="M62" s="20" t="inlineStr">
        <is>
          <t>未驗收</t>
        </is>
      </c>
      <c r="N62" s="20" t="n"/>
      <c r="O62" s="20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20" t="n">
        <v>62</v>
      </c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inlineStr">
        <is>
          <t>待檢測</t>
        </is>
      </c>
      <c r="K63" s="20" t="n"/>
      <c r="L63" s="20" t="n"/>
      <c r="M63" s="20" t="inlineStr">
        <is>
          <t>未驗收</t>
        </is>
      </c>
      <c r="N63" s="20" t="n"/>
      <c r="O63" s="20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20" t="n">
        <v>63</v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inlineStr">
        <is>
          <t>待檢測</t>
        </is>
      </c>
      <c r="K64" s="20" t="n"/>
      <c r="L64" s="20" t="n"/>
      <c r="M64" s="20" t="inlineStr">
        <is>
          <t>未驗收</t>
        </is>
      </c>
      <c r="N64" s="20" t="n"/>
      <c r="O64" s="20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20" t="n">
        <v>64</v>
      </c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inlineStr">
        <is>
          <t>待檢測</t>
        </is>
      </c>
      <c r="K65" s="20" t="n"/>
      <c r="L65" s="20" t="n"/>
      <c r="M65" s="20" t="inlineStr">
        <is>
          <t>未驗收</t>
        </is>
      </c>
      <c r="N65" s="20" t="n"/>
      <c r="O65" s="20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20" t="n">
        <v>65</v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inlineStr">
        <is>
          <t>待檢測</t>
        </is>
      </c>
      <c r="K66" s="20" t="n"/>
      <c r="L66" s="20" t="n"/>
      <c r="M66" s="20" t="inlineStr">
        <is>
          <t>未驗收</t>
        </is>
      </c>
      <c r="N66" s="20" t="n"/>
      <c r="O66" s="20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20" t="n">
        <v>66</v>
      </c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inlineStr">
        <is>
          <t>待檢測</t>
        </is>
      </c>
      <c r="K67" s="20" t="n"/>
      <c r="L67" s="20" t="n"/>
      <c r="M67" s="20" t="inlineStr">
        <is>
          <t>未驗收</t>
        </is>
      </c>
      <c r="N67" s="20" t="n"/>
      <c r="O67" s="20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20" t="n">
        <v>67</v>
      </c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inlineStr">
        <is>
          <t>待檢測</t>
        </is>
      </c>
      <c r="K68" s="20" t="n"/>
      <c r="L68" s="20" t="n"/>
      <c r="M68" s="20" t="inlineStr">
        <is>
          <t>未驗收</t>
        </is>
      </c>
      <c r="N68" s="20" t="n"/>
      <c r="O68" s="20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20" t="n">
        <v>68</v>
      </c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inlineStr">
        <is>
          <t>待檢測</t>
        </is>
      </c>
      <c r="K69" s="20" t="n"/>
      <c r="L69" s="20" t="n"/>
      <c r="M69" s="20" t="inlineStr">
        <is>
          <t>未驗收</t>
        </is>
      </c>
      <c r="N69" s="20" t="n"/>
      <c r="O69" s="20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20" t="n">
        <v>69</v>
      </c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inlineStr">
        <is>
          <t>待檢測</t>
        </is>
      </c>
      <c r="K70" s="20" t="n"/>
      <c r="L70" s="20" t="n"/>
      <c r="M70" s="20" t="inlineStr">
        <is>
          <t>未驗收</t>
        </is>
      </c>
      <c r="N70" s="20" t="n"/>
      <c r="O70" s="20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20" t="n">
        <v>70</v>
      </c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inlineStr">
        <is>
          <t>待檢測</t>
        </is>
      </c>
      <c r="K71" s="20" t="n"/>
      <c r="L71" s="20" t="n"/>
      <c r="M71" s="20" t="inlineStr">
        <is>
          <t>未驗收</t>
        </is>
      </c>
      <c r="N71" s="20" t="n"/>
      <c r="O71" s="20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20" t="n">
        <v>71</v>
      </c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inlineStr">
        <is>
          <t>待檢測</t>
        </is>
      </c>
      <c r="K72" s="20" t="n"/>
      <c r="L72" s="20" t="n"/>
      <c r="M72" s="20" t="inlineStr">
        <is>
          <t>未驗收</t>
        </is>
      </c>
      <c r="N72" s="20" t="n"/>
      <c r="O72" s="20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20" t="n">
        <v>72</v>
      </c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inlineStr">
        <is>
          <t>待檢測</t>
        </is>
      </c>
      <c r="K73" s="20" t="n"/>
      <c r="L73" s="20" t="n"/>
      <c r="M73" s="20" t="inlineStr">
        <is>
          <t>未驗收</t>
        </is>
      </c>
      <c r="N73" s="20" t="n"/>
      <c r="O73" s="20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20" t="n">
        <v>73</v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inlineStr">
        <is>
          <t>待檢測</t>
        </is>
      </c>
      <c r="K74" s="20" t="n"/>
      <c r="L74" s="20" t="n"/>
      <c r="M74" s="20" t="inlineStr">
        <is>
          <t>未驗收</t>
        </is>
      </c>
      <c r="N74" s="20" t="n"/>
      <c r="O74" s="20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20" t="n">
        <v>74</v>
      </c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inlineStr">
        <is>
          <t>待檢測</t>
        </is>
      </c>
      <c r="K75" s="20" t="n"/>
      <c r="L75" s="20" t="n"/>
      <c r="M75" s="20" t="inlineStr">
        <is>
          <t>未驗收</t>
        </is>
      </c>
      <c r="N75" s="20" t="n"/>
      <c r="O75" s="20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20" t="n">
        <v>75</v>
      </c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inlineStr">
        <is>
          <t>待檢測</t>
        </is>
      </c>
      <c r="K76" s="20" t="n"/>
      <c r="L76" s="20" t="n"/>
      <c r="M76" s="20" t="inlineStr">
        <is>
          <t>未驗收</t>
        </is>
      </c>
      <c r="N76" s="20" t="n"/>
      <c r="O76" s="20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20" t="n">
        <v>76</v>
      </c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inlineStr">
        <is>
          <t>待檢測</t>
        </is>
      </c>
      <c r="K77" s="20" t="n"/>
      <c r="L77" s="20" t="n"/>
      <c r="M77" s="20" t="inlineStr">
        <is>
          <t>未驗收</t>
        </is>
      </c>
      <c r="N77" s="20" t="n"/>
      <c r="O77" s="20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20" t="n">
        <v>77</v>
      </c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inlineStr">
        <is>
          <t>待檢測</t>
        </is>
      </c>
      <c r="K78" s="20" t="n"/>
      <c r="L78" s="20" t="n"/>
      <c r="M78" s="20" t="inlineStr">
        <is>
          <t>未驗收</t>
        </is>
      </c>
      <c r="N78" s="20" t="n"/>
      <c r="O78" s="20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20" t="n">
        <v>78</v>
      </c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inlineStr">
        <is>
          <t>待檢測</t>
        </is>
      </c>
      <c r="K79" s="20" t="n"/>
      <c r="L79" s="20" t="n"/>
      <c r="M79" s="20" t="inlineStr">
        <is>
          <t>未驗收</t>
        </is>
      </c>
      <c r="N79" s="20" t="n"/>
      <c r="O79" s="20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20" t="n">
        <v>79</v>
      </c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inlineStr">
        <is>
          <t>待檢測</t>
        </is>
      </c>
      <c r="K80" s="20" t="n"/>
      <c r="L80" s="20" t="n"/>
      <c r="M80" s="20" t="inlineStr">
        <is>
          <t>未驗收</t>
        </is>
      </c>
      <c r="N80" s="20" t="n"/>
      <c r="O80" s="20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20" t="n">
        <v>80</v>
      </c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inlineStr">
        <is>
          <t>待檢測</t>
        </is>
      </c>
      <c r="K81" s="20" t="n"/>
      <c r="L81" s="20" t="n"/>
      <c r="M81" s="20" t="inlineStr">
        <is>
          <t>未驗收</t>
        </is>
      </c>
      <c r="N81" s="20" t="n"/>
      <c r="O81" s="20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20" t="n">
        <v>81</v>
      </c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inlineStr">
        <is>
          <t>待檢測</t>
        </is>
      </c>
      <c r="K82" s="20" t="n"/>
      <c r="L82" s="20" t="n"/>
      <c r="M82" s="20" t="inlineStr">
        <is>
          <t>未驗收</t>
        </is>
      </c>
      <c r="N82" s="20" t="n"/>
      <c r="O82" s="20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20" t="n">
        <v>82</v>
      </c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inlineStr">
        <is>
          <t>待檢測</t>
        </is>
      </c>
      <c r="K83" s="20" t="n"/>
      <c r="L83" s="20" t="n"/>
      <c r="M83" s="20" t="inlineStr">
        <is>
          <t>未驗收</t>
        </is>
      </c>
      <c r="N83" s="20" t="n"/>
      <c r="O83" s="20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20" t="n">
        <v>83</v>
      </c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inlineStr">
        <is>
          <t>待檢測</t>
        </is>
      </c>
      <c r="K84" s="20" t="n"/>
      <c r="L84" s="20" t="n"/>
      <c r="M84" s="20" t="inlineStr">
        <is>
          <t>未驗收</t>
        </is>
      </c>
      <c r="N84" s="20" t="n"/>
      <c r="O84" s="20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20" t="n">
        <v>84</v>
      </c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inlineStr">
        <is>
          <t>待檢測</t>
        </is>
      </c>
      <c r="K85" s="20" t="n"/>
      <c r="L85" s="20" t="n"/>
      <c r="M85" s="20" t="inlineStr">
        <is>
          <t>未驗收</t>
        </is>
      </c>
      <c r="N85" s="20" t="n"/>
      <c r="O85" s="20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20" t="n">
        <v>85</v>
      </c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inlineStr">
        <is>
          <t>待檢測</t>
        </is>
      </c>
      <c r="K86" s="20" t="n"/>
      <c r="L86" s="20" t="n"/>
      <c r="M86" s="20" t="inlineStr">
        <is>
          <t>未驗收</t>
        </is>
      </c>
      <c r="N86" s="20" t="n"/>
      <c r="O86" s="20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20" t="n">
        <v>86</v>
      </c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inlineStr">
        <is>
          <t>待檢測</t>
        </is>
      </c>
      <c r="K87" s="20" t="n"/>
      <c r="L87" s="20" t="n"/>
      <c r="M87" s="20" t="inlineStr">
        <is>
          <t>未驗收</t>
        </is>
      </c>
      <c r="N87" s="20" t="n"/>
      <c r="O87" s="20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20" t="n">
        <v>87</v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inlineStr">
        <is>
          <t>待檢測</t>
        </is>
      </c>
      <c r="K88" s="20" t="n"/>
      <c r="L88" s="20" t="n"/>
      <c r="M88" s="20" t="inlineStr">
        <is>
          <t>未驗收</t>
        </is>
      </c>
      <c r="N88" s="20" t="n"/>
      <c r="O88" s="20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20" t="n">
        <v>88</v>
      </c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inlineStr">
        <is>
          <t>待檢測</t>
        </is>
      </c>
      <c r="K89" s="20" t="n"/>
      <c r="L89" s="20" t="n"/>
      <c r="M89" s="20" t="inlineStr">
        <is>
          <t>未驗收</t>
        </is>
      </c>
      <c r="N89" s="20" t="n"/>
      <c r="O89" s="20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20" t="n">
        <v>89</v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inlineStr">
        <is>
          <t>待檢測</t>
        </is>
      </c>
      <c r="K90" s="20" t="n"/>
      <c r="L90" s="20" t="n"/>
      <c r="M90" s="20" t="inlineStr">
        <is>
          <t>未驗收</t>
        </is>
      </c>
      <c r="N90" s="20" t="n"/>
      <c r="O90" s="20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20" t="n">
        <v>90</v>
      </c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inlineStr">
        <is>
          <t>待檢測</t>
        </is>
      </c>
      <c r="K91" s="20" t="n"/>
      <c r="L91" s="20" t="n"/>
      <c r="M91" s="20" t="inlineStr">
        <is>
          <t>未驗收</t>
        </is>
      </c>
      <c r="N91" s="20" t="n"/>
      <c r="O91" s="20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20" t="n">
        <v>91</v>
      </c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inlineStr">
        <is>
          <t>待檢測</t>
        </is>
      </c>
      <c r="K92" s="20" t="n"/>
      <c r="L92" s="20" t="n"/>
      <c r="M92" s="20" t="inlineStr">
        <is>
          <t>未驗收</t>
        </is>
      </c>
      <c r="N92" s="20" t="n"/>
      <c r="O92" s="20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20" t="n">
        <v>92</v>
      </c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inlineStr">
        <is>
          <t>待檢測</t>
        </is>
      </c>
      <c r="K93" s="20" t="n"/>
      <c r="L93" s="20" t="n"/>
      <c r="M93" s="20" t="inlineStr">
        <is>
          <t>未驗收</t>
        </is>
      </c>
      <c r="N93" s="20" t="n"/>
      <c r="O93" s="20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20" t="n">
        <v>93</v>
      </c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inlineStr">
        <is>
          <t>待檢測</t>
        </is>
      </c>
      <c r="K94" s="20" t="n"/>
      <c r="L94" s="20" t="n"/>
      <c r="M94" s="20" t="inlineStr">
        <is>
          <t>未驗收</t>
        </is>
      </c>
      <c r="N94" s="20" t="n"/>
      <c r="O94" s="20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20" t="n">
        <v>94</v>
      </c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inlineStr">
        <is>
          <t>待檢測</t>
        </is>
      </c>
      <c r="K95" s="20" t="n"/>
      <c r="L95" s="20" t="n"/>
      <c r="M95" s="20" t="inlineStr">
        <is>
          <t>未驗收</t>
        </is>
      </c>
      <c r="N95" s="20" t="n"/>
      <c r="O95" s="20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20" t="n">
        <v>95</v>
      </c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inlineStr">
        <is>
          <t>待檢測</t>
        </is>
      </c>
      <c r="K96" s="20" t="n"/>
      <c r="L96" s="20" t="n"/>
      <c r="M96" s="20" t="inlineStr">
        <is>
          <t>未驗收</t>
        </is>
      </c>
      <c r="N96" s="20" t="n"/>
      <c r="O96" s="20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20" t="n">
        <v>96</v>
      </c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inlineStr">
        <is>
          <t>待檢測</t>
        </is>
      </c>
      <c r="K97" s="20" t="n"/>
      <c r="L97" s="20" t="n"/>
      <c r="M97" s="20" t="inlineStr">
        <is>
          <t>未驗收</t>
        </is>
      </c>
      <c r="N97" s="20" t="n"/>
      <c r="O97" s="20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20" t="n">
        <v>97</v>
      </c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inlineStr">
        <is>
          <t>待檢測</t>
        </is>
      </c>
      <c r="K98" s="20" t="n"/>
      <c r="L98" s="20" t="n"/>
      <c r="M98" s="20" t="inlineStr">
        <is>
          <t>未驗收</t>
        </is>
      </c>
      <c r="N98" s="20" t="n"/>
      <c r="O98" s="20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20" t="n">
        <v>98</v>
      </c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inlineStr">
        <is>
          <t>待檢測</t>
        </is>
      </c>
      <c r="K99" s="20" t="n"/>
      <c r="L99" s="20" t="n"/>
      <c r="M99" s="20" t="inlineStr">
        <is>
          <t>未驗收</t>
        </is>
      </c>
      <c r="N99" s="20" t="n"/>
      <c r="O99" s="20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20" t="n">
        <v>99</v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inlineStr">
        <is>
          <t>待檢測</t>
        </is>
      </c>
      <c r="K100" s="20" t="n"/>
      <c r="L100" s="20" t="n"/>
      <c r="M100" s="20" t="inlineStr">
        <is>
          <t>未驗收</t>
        </is>
      </c>
      <c r="N100" s="20" t="n"/>
      <c r="O100" s="20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20" t="n">
        <v>100</v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inlineStr">
        <is>
          <t>待檢測</t>
        </is>
      </c>
      <c r="K101" s="20" t="n"/>
      <c r="L101" s="20" t="n"/>
      <c r="M101" s="20" t="inlineStr">
        <is>
          <t>未驗收</t>
        </is>
      </c>
      <c r="N101" s="20" t="n"/>
      <c r="O101" s="20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20" t="n">
        <v>101</v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inlineStr">
        <is>
          <t>待檢測</t>
        </is>
      </c>
      <c r="K102" s="20" t="n"/>
      <c r="L102" s="20" t="n"/>
      <c r="M102" s="20" t="inlineStr">
        <is>
          <t>未驗收</t>
        </is>
      </c>
      <c r="N102" s="20" t="n"/>
      <c r="O102" s="20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20" t="n">
        <v>102</v>
      </c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inlineStr">
        <is>
          <t>待檢測</t>
        </is>
      </c>
      <c r="K103" s="20" t="n"/>
      <c r="L103" s="20" t="n"/>
      <c r="M103" s="20" t="inlineStr">
        <is>
          <t>未驗收</t>
        </is>
      </c>
      <c r="N103" s="20" t="n"/>
      <c r="O103" s="20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20" t="n">
        <v>103</v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inlineStr">
        <is>
          <t>待檢測</t>
        </is>
      </c>
      <c r="K104" s="20" t="n"/>
      <c r="L104" s="20" t="n"/>
      <c r="M104" s="20" t="inlineStr">
        <is>
          <t>未驗收</t>
        </is>
      </c>
      <c r="N104" s="20" t="n"/>
      <c r="O104" s="20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20" t="n">
        <v>104</v>
      </c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inlineStr">
        <is>
          <t>待檢測</t>
        </is>
      </c>
      <c r="K105" s="20" t="n"/>
      <c r="L105" s="20" t="n"/>
      <c r="M105" s="20" t="inlineStr">
        <is>
          <t>未驗收</t>
        </is>
      </c>
      <c r="N105" s="20" t="n"/>
      <c r="O105" s="20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20" t="n">
        <v>105</v>
      </c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inlineStr">
        <is>
          <t>待檢測</t>
        </is>
      </c>
      <c r="K106" s="20" t="n"/>
      <c r="L106" s="20" t="n"/>
      <c r="M106" s="20" t="inlineStr">
        <is>
          <t>未驗收</t>
        </is>
      </c>
      <c r="N106" s="20" t="n"/>
      <c r="O106" s="20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20" t="n">
        <v>106</v>
      </c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inlineStr">
        <is>
          <t>待檢測</t>
        </is>
      </c>
      <c r="K107" s="20" t="n"/>
      <c r="L107" s="20" t="n"/>
      <c r="M107" s="20" t="inlineStr">
        <is>
          <t>未驗收</t>
        </is>
      </c>
      <c r="N107" s="20" t="n"/>
      <c r="O107" s="20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20" t="n">
        <v>107</v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inlineStr">
        <is>
          <t>待檢測</t>
        </is>
      </c>
      <c r="K108" s="20" t="n"/>
      <c r="L108" s="20" t="n"/>
      <c r="M108" s="20" t="inlineStr">
        <is>
          <t>未驗收</t>
        </is>
      </c>
      <c r="N108" s="20" t="n"/>
      <c r="O108" s="20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20" t="n">
        <v>108</v>
      </c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inlineStr">
        <is>
          <t>待檢測</t>
        </is>
      </c>
      <c r="K109" s="20" t="n"/>
      <c r="L109" s="20" t="n"/>
      <c r="M109" s="20" t="inlineStr">
        <is>
          <t>未驗收</t>
        </is>
      </c>
      <c r="N109" s="20" t="n"/>
      <c r="O109" s="20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20" t="n">
        <v>109</v>
      </c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inlineStr">
        <is>
          <t>待檢測</t>
        </is>
      </c>
      <c r="K110" s="20" t="n"/>
      <c r="L110" s="20" t="n"/>
      <c r="M110" s="20" t="inlineStr">
        <is>
          <t>未驗收</t>
        </is>
      </c>
      <c r="N110" s="20" t="n"/>
      <c r="O110" s="20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20" t="n">
        <v>110</v>
      </c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inlineStr">
        <is>
          <t>待檢測</t>
        </is>
      </c>
      <c r="K111" s="20" t="n"/>
      <c r="L111" s="20" t="n"/>
      <c r="M111" s="20" t="inlineStr">
        <is>
          <t>未驗收</t>
        </is>
      </c>
      <c r="N111" s="20" t="n"/>
      <c r="O111" s="20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20" t="n">
        <v>111</v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inlineStr">
        <is>
          <t>待檢測</t>
        </is>
      </c>
      <c r="K112" s="20" t="n"/>
      <c r="L112" s="20" t="n"/>
      <c r="M112" s="20" t="inlineStr">
        <is>
          <t>未驗收</t>
        </is>
      </c>
      <c r="N112" s="20" t="n"/>
      <c r="O112" s="20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20" t="n">
        <v>112</v>
      </c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inlineStr">
        <is>
          <t>待檢測</t>
        </is>
      </c>
      <c r="K113" s="20" t="n"/>
      <c r="L113" s="20" t="n"/>
      <c r="M113" s="20" t="inlineStr">
        <is>
          <t>未驗收</t>
        </is>
      </c>
      <c r="N113" s="20" t="n"/>
      <c r="O113" s="20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20" t="n">
        <v>113</v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inlineStr">
        <is>
          <t>待檢測</t>
        </is>
      </c>
      <c r="K114" s="20" t="n"/>
      <c r="L114" s="20" t="n"/>
      <c r="M114" s="20" t="inlineStr">
        <is>
          <t>未驗收</t>
        </is>
      </c>
      <c r="N114" s="20" t="n"/>
      <c r="O114" s="20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20" t="n">
        <v>114</v>
      </c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inlineStr">
        <is>
          <t>待檢測</t>
        </is>
      </c>
      <c r="K115" s="20" t="n"/>
      <c r="L115" s="20" t="n"/>
      <c r="M115" s="20" t="inlineStr">
        <is>
          <t>未驗收</t>
        </is>
      </c>
      <c r="N115" s="20" t="n"/>
      <c r="O115" s="20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20" t="n">
        <v>115</v>
      </c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inlineStr">
        <is>
          <t>待檢測</t>
        </is>
      </c>
      <c r="K116" s="20" t="n"/>
      <c r="L116" s="20" t="n"/>
      <c r="M116" s="20" t="inlineStr">
        <is>
          <t>未驗收</t>
        </is>
      </c>
      <c r="N116" s="20" t="n"/>
      <c r="O116" s="20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20" t="n">
        <v>116</v>
      </c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inlineStr">
        <is>
          <t>待檢測</t>
        </is>
      </c>
      <c r="K117" s="20" t="n"/>
      <c r="L117" s="20" t="n"/>
      <c r="M117" s="20" t="inlineStr">
        <is>
          <t>未驗收</t>
        </is>
      </c>
      <c r="N117" s="20" t="n"/>
      <c r="O117" s="20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20" t="n">
        <v>117</v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inlineStr">
        <is>
          <t>待檢測</t>
        </is>
      </c>
      <c r="K118" s="20" t="n"/>
      <c r="L118" s="20" t="n"/>
      <c r="M118" s="20" t="inlineStr">
        <is>
          <t>未驗收</t>
        </is>
      </c>
      <c r="N118" s="20" t="n"/>
      <c r="O118" s="20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20" t="n">
        <v>118</v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inlineStr">
        <is>
          <t>待檢測</t>
        </is>
      </c>
      <c r="K119" s="20" t="n"/>
      <c r="L119" s="20" t="n"/>
      <c r="M119" s="20" t="inlineStr">
        <is>
          <t>未驗收</t>
        </is>
      </c>
      <c r="N119" s="20" t="n"/>
      <c r="O119" s="20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20" t="n">
        <v>119</v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inlineStr">
        <is>
          <t>待檢測</t>
        </is>
      </c>
      <c r="K120" s="20" t="n"/>
      <c r="L120" s="20" t="n"/>
      <c r="M120" s="20" t="inlineStr">
        <is>
          <t>未驗收</t>
        </is>
      </c>
      <c r="N120" s="20" t="n"/>
      <c r="O120" s="20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20" t="n">
        <v>120</v>
      </c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inlineStr">
        <is>
          <t>待檢測</t>
        </is>
      </c>
      <c r="K121" s="20" t="n"/>
      <c r="L121" s="20" t="n"/>
      <c r="M121" s="20" t="inlineStr">
        <is>
          <t>未驗收</t>
        </is>
      </c>
      <c r="N121" s="20" t="n"/>
      <c r="O121" s="20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conditionalFormatting sqref="D2:D121">
    <cfRule type="expression" priority="1" dxfId="9">
      <formula>$D2="Critical"</formula>
    </cfRule>
    <cfRule type="expression" priority="2" dxfId="4">
      <formula>$D2="高"</formula>
    </cfRule>
    <cfRule type="expression" priority="3" dxfId="6">
      <formula>$D2="中"</formula>
    </cfRule>
    <cfRule type="expression" priority="4" dxfId="7">
      <formula>$D2="低"</formula>
    </cfRule>
  </conditionalFormatting>
  <conditionalFormatting sqref="J2:J121">
    <cfRule type="expression" priority="5" dxfId="4">
      <formula>$J2="退回"</formula>
    </cfRule>
    <cfRule type="expression" priority="6" dxfId="5">
      <formula>$J2="待修"</formula>
    </cfRule>
    <cfRule type="expression" priority="7" dxfId="7">
      <formula>$J2="處理中"</formula>
    </cfRule>
    <cfRule type="expression" priority="8" dxfId="7">
      <formula>$J2="待規劃"</formula>
    </cfRule>
    <cfRule type="expression" priority="9" dxfId="7">
      <formula>$J2="待確認"</formula>
    </cfRule>
    <cfRule type="expression" priority="10" dxfId="8">
      <formula>$J2="待驗收"</formula>
    </cfRule>
    <cfRule type="expression" priority="11" dxfId="5">
      <formula>$J2="未驗收"</formula>
    </cfRule>
    <cfRule type="expression" priority="12" dxfId="7">
      <formula>$J2="已通過"</formula>
    </cfRule>
    <cfRule type="expression" priority="13" dxfId="7">
      <formula>$J2="通過"</formula>
    </cfRule>
    <cfRule type="expression" priority="14" dxfId="4">
      <formula>$J2="未通過"</formula>
    </cfRule>
  </conditionalFormatting>
  <conditionalFormatting sqref="M2:M121">
    <cfRule type="expression" priority="15" dxfId="4">
      <formula>$M2="退回"</formula>
    </cfRule>
    <cfRule type="expression" priority="16" dxfId="5">
      <formula>$M2="待修"</formula>
    </cfRule>
    <cfRule type="expression" priority="17" dxfId="7">
      <formula>$M2="處理中"</formula>
    </cfRule>
    <cfRule type="expression" priority="18" dxfId="7">
      <formula>$M2="待規劃"</formula>
    </cfRule>
    <cfRule type="expression" priority="19" dxfId="7">
      <formula>$M2="待確認"</formula>
    </cfRule>
    <cfRule type="expression" priority="20" dxfId="8">
      <formula>$M2="待驗收"</formula>
    </cfRule>
    <cfRule type="expression" priority="21" dxfId="5">
      <formula>$M2="未驗收"</formula>
    </cfRule>
    <cfRule type="expression" priority="22" dxfId="7">
      <formula>$M2="已通過"</formula>
    </cfRule>
    <cfRule type="expression" priority="23" dxfId="7">
      <formula>$M2="通過"</formula>
    </cfRule>
    <cfRule type="expression" priority="24" dxfId="4">
      <formula>$M2="未通過"</formula>
    </cfRule>
  </conditionalFormatting>
  <dataValidations count="5">
    <dataValidation sqref="D2:D121" showDropDown="0" showInputMessage="0" showErrorMessage="0" allowBlank="1" type="list">
      <formula1>'選單值'!$E$2:$E$5</formula1>
    </dataValidation>
    <dataValidation sqref="C2:C121" showDropDown="0" showInputMessage="0" showErrorMessage="0" allowBlank="1" type="list">
      <formula1>'選單值'!$G$2:$G$12</formula1>
    </dataValidation>
    <dataValidation sqref="J2:J121" showDropDown="0" showInputMessage="0" showErrorMessage="0" allowBlank="1" type="list">
      <formula1>'選單值'!$C$2:$C$10</formula1>
    </dataValidation>
    <dataValidation sqref="B2:B121" showDropDown="0" showInputMessage="0" showErrorMessage="0" allowBlank="1" type="list">
      <formula1>'選單值'!$F$2:$F$5</formula1>
    </dataValidation>
    <dataValidation sqref="M2:M121" showDropDown="0" showInputMessage="0" showErrorMessage="0" allowBlank="1" type="list">
      <formula1>'選單值'!$D$2:$D$8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12" customWidth="1" style="21" min="2" max="2"/>
    <col width="13" customWidth="1" style="21" min="3" max="3"/>
    <col width="36" customWidth="1" style="21" min="4" max="4"/>
    <col width="13" customWidth="1" style="21" min="5" max="6"/>
  </cols>
  <sheetData>
    <row r="1" ht="25.5" customHeight="1" s="21">
      <c r="A1" s="19" t="inlineStr">
        <is>
          <t>序號</t>
        </is>
      </c>
      <c r="B1" s="19" t="inlineStr">
        <is>
          <t>區域</t>
        </is>
      </c>
      <c r="C1" s="19" t="inlineStr">
        <is>
          <t>檢測範圍</t>
        </is>
      </c>
      <c r="D1" s="19" t="inlineStr">
        <is>
          <t>代表檔案/位置</t>
        </is>
      </c>
      <c r="E1" s="19" t="inlineStr">
        <is>
          <t>檢測重點</t>
        </is>
      </c>
      <c r="F1" s="19" t="inlineStr">
        <is>
          <t>目前判斷</t>
        </is>
      </c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n">
        <v>1</v>
      </c>
      <c r="B2" s="20" t="inlineStr">
        <is>
          <t>後端</t>
        </is>
      </c>
      <c r="C2" s="20" t="inlineStr">
        <is>
          <t>程式進入點與 Middleware</t>
        </is>
      </c>
      <c r="D2" s="20" t="inlineStr">
        <is>
          <t>Program.cs、SecuritySetup.cs、ErrorHandling.cs、OperateLogMiddleware.cs</t>
        </is>
      </c>
      <c r="E2" s="20" t="inlineStr">
        <is>
          <t>安全標頭、RateLimit、Log、錯誤處理、Swagger、Cache 啟用狀態。</t>
        </is>
      </c>
      <c r="F2" s="20" t="inlineStr">
        <is>
          <t>已存在雛形，但多個安全/紀錄功能仍有註解或待啟用。</t>
        </is>
      </c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n">
        <v>2</v>
      </c>
      <c r="B3" s="20" t="inlineStr">
        <is>
          <t>後端</t>
        </is>
      </c>
      <c r="C3" s="20" t="inlineStr">
        <is>
          <t>認證授權</t>
        </is>
      </c>
      <c r="D3" s="20" t="inlineStr">
        <is>
          <t>TokenService.cs、LibJWT.cs、HttpContextUserService.cs、RolePermission、SpecApiAccessFilter.cs</t>
        </is>
      </c>
      <c r="E3" s="20" t="inlineStr">
        <is>
          <t>JWT、權限檢查、API 前後台切分、登出撤銷。</t>
        </is>
      </c>
      <c r="F3" s="20" t="inlineStr">
        <is>
          <t>JWT/權限模組存在，黑名單與完整套用仍需白帽驗證。</t>
        </is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n">
        <v>3</v>
      </c>
      <c r="B4" s="20" t="inlineStr">
        <is>
          <t>後端</t>
        </is>
      </c>
      <c r="C4" s="20" t="inlineStr">
        <is>
          <t>資料存取</t>
        </is>
      </c>
      <c r="D4" s="20" t="inlineStr">
        <is>
          <t>BasicRepository.cs、BizService.cs、DTOSetMapper.cs、RecordComparison.cs</t>
        </is>
      </c>
      <c r="E4" s="20" t="inlineStr">
        <is>
          <t>動態查詢、排序、欄位映射、資料異動紀錄。</t>
        </is>
      </c>
      <c r="F4" s="20" t="inlineStr">
        <is>
          <t>有映射快取設計，需檢查注入與權限範圍。</t>
        </is>
      </c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n">
        <v>4</v>
      </c>
      <c r="B5" s="20" t="inlineStr">
        <is>
          <t>後端</t>
        </is>
      </c>
      <c r="C5" s="20" t="inlineStr">
        <is>
          <t>檔案管理</t>
        </is>
      </c>
      <c r="D5" s="20" t="inlineStr">
        <is>
          <t>FileManagement、FileArchive、FilePaths 設定</t>
        </is>
      </c>
      <c r="E5" s="20" t="inlineStr">
        <is>
          <t>上傳、下載、預覽、MIME、路徑穿越、檔名。</t>
        </is>
      </c>
      <c r="F5" s="20" t="inlineStr">
        <is>
          <t>既有需求多，需列為高優先白帽範圍。</t>
        </is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>
        <v>5</v>
      </c>
      <c r="B6" s="20" t="inlineStr">
        <is>
          <t>後端</t>
        </is>
      </c>
      <c r="C6" s="20" t="inlineStr">
        <is>
          <t>多語系/訊息</t>
        </is>
      </c>
      <c r="D6" s="20" t="inlineStr">
        <is>
          <t>Features/_Resx、I18nModelHelper、LibResxReader</t>
        </is>
      </c>
      <c r="E6" s="20" t="inlineStr">
        <is>
          <t>錯誤訊息、欄位顯示、語系 fallback。</t>
        </is>
      </c>
      <c r="F6" s="20" t="inlineStr">
        <is>
          <t>已具備 resx 架構，需補缺字串與語系資料治理。</t>
        </is>
      </c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0" t="n">
        <v>6</v>
      </c>
      <c r="B7" s="20" t="inlineStr">
        <is>
          <t>前端</t>
        </is>
      </c>
      <c r="C7" s="20" t="inlineStr">
        <is>
          <t>SSR</t>
        </is>
      </c>
      <c r="D7" s="20" t="inlineStr">
        <is>
          <t>Entry-Client.tsx、Entry-Server.tsx、SSR-Server.ts、CSPSetting.ts</t>
        </is>
      </c>
      <c r="E7" s="20" t="inlineStr">
        <is>
          <t>Hydration、初始資料、CSP、安全標頭。</t>
        </is>
      </c>
      <c r="F7" s="20" t="inlineStr">
        <is>
          <t>已修過重複渲染問題，需回歸測試與白帽 XSS 檢查。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0" t="n">
        <v>7</v>
      </c>
      <c r="B8" s="20" t="inlineStr">
        <is>
          <t>前端</t>
        </is>
      </c>
      <c r="C8" s="20" t="inlineStr">
        <is>
          <t>HTML/TinyMCE</t>
        </is>
      </c>
      <c r="D8" s="20" t="inlineStr">
        <is>
          <t>public/tinymce、TrustedTypesPolicy、CmsHtml 類元件</t>
        </is>
      </c>
      <c r="E8" s="20" t="inlineStr">
        <is>
          <t>HTML 淨化、iframe、style、script、Trusted Types。</t>
        </is>
      </c>
      <c r="F8" s="20" t="inlineStr">
        <is>
          <t>TinyMCE 自架但 CSP/弱掃與功能仍需一起驗證。</t>
        </is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0" t="n">
        <v>8</v>
      </c>
      <c r="B9" s="20" t="inlineStr">
        <is>
          <t>前端</t>
        </is>
      </c>
      <c r="C9" s="20" t="inlineStr">
        <is>
          <t>資料流模板</t>
        </is>
      </c>
      <c r="D9" s="20" t="inlineStr">
        <is>
          <t>Client_DataQueryTemplate_Hook、Client_*_List、Loaders</t>
        </is>
      </c>
      <c r="E9" s="20" t="inlineStr">
        <is>
          <t>搜尋、分頁、SSR 資料一致、錯誤處理。</t>
        </is>
      </c>
      <c r="F9" s="20" t="inlineStr">
        <is>
          <t>已開始收斂，需補完殘留散裝 hook。</t>
        </is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>
        <v>9</v>
      </c>
      <c r="B10" s="20" t="inlineStr">
        <is>
          <t>前端</t>
        </is>
      </c>
      <c r="C10" s="20" t="inlineStr">
        <is>
          <t>AA 表單與 EditGrid</t>
        </is>
      </c>
      <c r="D10" s="20" t="inlineStr">
        <is>
          <t>AAInputs Components、EditGrid、InputField 舊版</t>
        </is>
      </c>
      <c r="E10" s="20" t="inlineStr">
        <is>
          <t>label、focus、鍵盤、錯誤訊息、file/select/date。</t>
        </is>
      </c>
      <c r="F10" s="20" t="inlineStr">
        <is>
          <t>新版雛形可行，但尚未可完全替換舊版。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20" t="n">
        <v>10</v>
      </c>
      <c r="B11" s="20" t="inlineStr">
        <is>
          <t>前後端</t>
        </is>
      </c>
      <c r="C11" s="20" t="inlineStr">
        <is>
          <t>套件/供應鏈</t>
        </is>
      </c>
      <c r="D11" s="20" t="inlineStr">
        <is>
          <t>package-lock.json、WCMS.csproj、public/tinymce</t>
        </is>
      </c>
      <c r="E11" s="20" t="inlineStr">
        <is>
          <t>npm/NuGet CVE、自架第三方程式碼。</t>
        </is>
      </c>
      <c r="F11" s="20" t="inlineStr">
        <is>
          <t>需建立固定掃描與升級回歸流程。</t>
        </is>
      </c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dataValidations count="1">
    <dataValidation sqref="B2:B11" showDropDown="0" showInputMessage="0" showErrorMessage="0" allowBlank="1" type="list">
      <formula1>'選單值'!$F$2:$F$5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8" customWidth="1" style="21" min="1" max="1"/>
    <col width="13" customWidth="1" style="21" min="2" max="4"/>
    <col width="36" customWidth="1" style="21" min="5" max="5"/>
    <col width="13" customWidth="1" style="21" min="6" max="9"/>
    <col width="42" customWidth="1" style="21" min="10" max="10"/>
  </cols>
  <sheetData>
    <row r="1" ht="25.5" customHeight="1" s="21">
      <c r="A1" s="19" t="inlineStr">
        <is>
          <t>序號</t>
        </is>
      </c>
      <c r="B1" s="19" t="inlineStr">
        <is>
          <t>關聯序號</t>
        </is>
      </c>
      <c r="C1" s="19" t="inlineStr">
        <is>
          <t>來源Sheet</t>
        </is>
      </c>
      <c r="D1" s="19" t="inlineStr">
        <is>
          <t>修正摘要</t>
        </is>
      </c>
      <c r="E1" s="19" t="inlineStr">
        <is>
          <t>修改檔案</t>
        </is>
      </c>
      <c r="F1" s="19" t="inlineStr">
        <is>
          <t>自測結果</t>
        </is>
      </c>
      <c r="G1" s="19" t="inlineStr">
        <is>
          <t>白帽複測結果</t>
        </is>
      </c>
      <c r="H1" s="19" t="inlineStr">
        <is>
          <t>AA/弱掃回歸</t>
        </is>
      </c>
      <c r="I1" s="19" t="inlineStr">
        <is>
          <t>完成日期</t>
        </is>
      </c>
      <c r="J1" s="19" t="inlineStr">
        <is>
          <t>備註</t>
        </is>
      </c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n">
        <v>1</v>
      </c>
      <c r="B2" s="20" t="inlineStr">
        <is>
          <t>前端待修收斂表#1/原始135</t>
        </is>
      </c>
      <c r="C2" s="20" t="inlineStr">
        <is>
          <t>前端待修收斂表</t>
        </is>
      </c>
      <c r="D2" s="20" t="inlineStr">
        <is>
          <t>SpecResearch_Department 文案已複驗為系所</t>
        </is>
      </c>
      <c r="E2" s="20" t="inlineStr">
        <is>
          <t>WCMS_Backend/SpecFeatures/Spec1810/_Resx/SpecModelDisplayName.zh-TW.resx</t>
        </is>
      </c>
      <c r="F2" s="20" t="inlineStr">
        <is>
          <t>GitHub main 對照通過</t>
        </is>
      </c>
      <c r="G2" s="20" t="inlineStr">
        <is>
          <t>未驗收</t>
        </is>
      </c>
      <c r="H2" s="20" t="inlineStr">
        <is>
          <t>AA/SSR/弱掃風險低</t>
        </is>
      </c>
      <c r="I2" s="20" t="inlineStr">
        <is>
          <t>2026-05-27</t>
        </is>
      </c>
      <c r="J2" s="20" t="inlineStr">
        <is>
          <t>第一輪複驗</t>
        </is>
      </c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n">
        <v>2</v>
      </c>
      <c r="B3" s="20" t="inlineStr">
        <is>
          <t>前端待修收斂表#4/原始164</t>
        </is>
      </c>
      <c r="C3" s="20" t="inlineStr">
        <is>
          <t>前端待修收斂表</t>
        </is>
      </c>
      <c r="D3" s="20" t="inlineStr">
        <is>
          <t>Announcement 前台有效日期條件已複驗</t>
        </is>
      </c>
      <c r="E3" s="20" t="inlineStr">
        <is>
          <t>WCMS_Frontend/src/Features/Pages/Client/BizFunc/WEB/Announcement/AnnouncementList_Loader.ts</t>
        </is>
      </c>
      <c r="F3" s="20" t="inlineStr">
        <is>
          <t>GitHub main 對照通過，保留後端化建議</t>
        </is>
      </c>
      <c r="G3" s="20" t="inlineStr">
        <is>
          <t>未驗收</t>
        </is>
      </c>
      <c r="H3" s="20" t="inlineStr">
        <is>
          <t>SSR/CSR 需回歸首頁與子頁</t>
        </is>
      </c>
      <c r="I3" s="20" t="inlineStr">
        <is>
          <t>2026-05-27</t>
        </is>
      </c>
      <c r="J3" s="20" t="inlineStr">
        <is>
          <t>第一輪複驗</t>
        </is>
      </c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n">
        <v>3</v>
      </c>
      <c r="B4" s="20" t="inlineStr">
        <is>
          <t>前端待修收斂表#7/原始137</t>
        </is>
      </c>
      <c r="C4" s="20" t="inlineStr">
        <is>
          <t>前端待修收斂表</t>
        </is>
      </c>
      <c r="D4" s="20" t="inlineStr">
        <is>
          <t>Gallery 日期/alt/回頂相關程式已抽查，返回頁碼待實機</t>
        </is>
      </c>
      <c r="E4" s="20" t="inlineStr">
        <is>
          <t>GalleryList_Comp.tsx、LangGuardRoute.tsx、ScollToTop.tsx</t>
        </is>
      </c>
      <c r="F4" s="20" t="inlineStr">
        <is>
          <t>部分通過，待實機</t>
        </is>
      </c>
      <c r="G4" s="20" t="inlineStr">
        <is>
          <t>未驗收</t>
        </is>
      </c>
      <c r="H4" s="20" t="inlineStr">
        <is>
          <t>AA 圖片 alt 已有 fallback；UI 返回頁碼待驗</t>
        </is>
      </c>
      <c r="I4" s="20" t="inlineStr">
        <is>
          <t>2026-05-27</t>
        </is>
      </c>
      <c r="J4" s="20" t="inlineStr">
        <is>
          <t>第一輪複驗</t>
        </is>
      </c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n">
        <v>4</v>
      </c>
      <c r="B5" s="20" t="inlineStr">
        <is>
          <t>前端待修收斂表#8/原始174</t>
        </is>
      </c>
      <c r="C5" s="20" t="inlineStr">
        <is>
          <t>前端待修收斂表</t>
        </is>
      </c>
      <c r="D5" s="20" t="inlineStr">
        <is>
          <t>Announcement 搜尋已接 keyword 條件</t>
        </is>
      </c>
      <c r="E5" s="20" t="inlineStr">
        <is>
          <t>AnnouncementList.tsx、AnnouncementList_Loader.ts</t>
        </is>
      </c>
      <c r="F5" s="20" t="inlineStr">
        <is>
          <t>Announcement 範圍通過</t>
        </is>
      </c>
      <c r="G5" s="20" t="inlineStr">
        <is>
          <t>未驗收</t>
        </is>
      </c>
      <c r="H5" s="20" t="inlineStr">
        <is>
          <t>其他清單模組需逐項驗證</t>
        </is>
      </c>
      <c r="I5" s="20" t="inlineStr">
        <is>
          <t>2026-05-27</t>
        </is>
      </c>
      <c r="J5" s="20" t="inlineStr">
        <is>
          <t>第一輪複驗</t>
        </is>
      </c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>
        <v>5</v>
      </c>
      <c r="B6" s="20" t="n"/>
      <c r="C6" s="20" t="n"/>
      <c r="D6" s="20" t="n"/>
      <c r="E6" s="20" t="n"/>
      <c r="F6" s="20" t="n"/>
      <c r="G6" s="20" t="inlineStr">
        <is>
          <t>未驗收</t>
        </is>
      </c>
      <c r="H6" s="20" t="inlineStr">
        <is>
          <t>未驗收</t>
        </is>
      </c>
      <c r="I6" s="20" t="n"/>
      <c r="J6" s="20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0" t="n">
        <v>6</v>
      </c>
      <c r="B7" s="20" t="n"/>
      <c r="C7" s="20" t="n"/>
      <c r="D7" s="20" t="n"/>
      <c r="E7" s="20" t="n"/>
      <c r="F7" s="20" t="n"/>
      <c r="G7" s="20" t="inlineStr">
        <is>
          <t>未驗收</t>
        </is>
      </c>
      <c r="H7" s="20" t="inlineStr">
        <is>
          <t>未驗收</t>
        </is>
      </c>
      <c r="I7" s="20" t="n"/>
      <c r="J7" s="20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0" t="n">
        <v>7</v>
      </c>
      <c r="B8" s="20" t="n"/>
      <c r="C8" s="20" t="n"/>
      <c r="D8" s="20" t="n"/>
      <c r="E8" s="20" t="n"/>
      <c r="F8" s="20" t="n"/>
      <c r="G8" s="20" t="inlineStr">
        <is>
          <t>未驗收</t>
        </is>
      </c>
      <c r="H8" s="20" t="inlineStr">
        <is>
          <t>未驗收</t>
        </is>
      </c>
      <c r="I8" s="20" t="n"/>
      <c r="J8" s="20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0" t="n">
        <v>8</v>
      </c>
      <c r="B9" s="20" t="n"/>
      <c r="C9" s="20" t="n"/>
      <c r="D9" s="20" t="n"/>
      <c r="E9" s="20" t="n"/>
      <c r="F9" s="20" t="n"/>
      <c r="G9" s="20" t="inlineStr">
        <is>
          <t>未驗收</t>
        </is>
      </c>
      <c r="H9" s="20" t="inlineStr">
        <is>
          <t>未驗收</t>
        </is>
      </c>
      <c r="I9" s="20" t="n"/>
      <c r="J9" s="20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>
        <v>9</v>
      </c>
      <c r="B10" s="20" t="n"/>
      <c r="C10" s="20" t="n"/>
      <c r="D10" s="20" t="n"/>
      <c r="E10" s="20" t="n"/>
      <c r="F10" s="20" t="n"/>
      <c r="G10" s="20" t="inlineStr">
        <is>
          <t>未驗收</t>
        </is>
      </c>
      <c r="H10" s="20" t="inlineStr">
        <is>
          <t>未驗收</t>
        </is>
      </c>
      <c r="I10" s="20" t="n"/>
      <c r="J10" s="20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20" t="n">
        <v>10</v>
      </c>
      <c r="B11" s="20" t="n"/>
      <c r="C11" s="20" t="n"/>
      <c r="D11" s="20" t="n"/>
      <c r="E11" s="20" t="n"/>
      <c r="F11" s="20" t="n"/>
      <c r="G11" s="20" t="inlineStr">
        <is>
          <t>未驗收</t>
        </is>
      </c>
      <c r="H11" s="20" t="inlineStr">
        <is>
          <t>未驗收</t>
        </is>
      </c>
      <c r="I11" s="20" t="n"/>
      <c r="J11" s="20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20" t="n">
        <v>11</v>
      </c>
      <c r="B12" s="20" t="n"/>
      <c r="C12" s="20" t="n"/>
      <c r="D12" s="20" t="n"/>
      <c r="E12" s="20" t="n"/>
      <c r="F12" s="20" t="n"/>
      <c r="G12" s="20" t="inlineStr">
        <is>
          <t>未驗收</t>
        </is>
      </c>
      <c r="H12" s="20" t="inlineStr">
        <is>
          <t>未驗收</t>
        </is>
      </c>
      <c r="I12" s="20" t="n"/>
      <c r="J12" s="20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20" t="n">
        <v>12</v>
      </c>
      <c r="B13" s="20" t="n"/>
      <c r="C13" s="20" t="n"/>
      <c r="D13" s="20" t="n"/>
      <c r="E13" s="20" t="n"/>
      <c r="F13" s="20" t="n"/>
      <c r="G13" s="20" t="inlineStr">
        <is>
          <t>未驗收</t>
        </is>
      </c>
      <c r="H13" s="20" t="inlineStr">
        <is>
          <t>未驗收</t>
        </is>
      </c>
      <c r="I13" s="20" t="n"/>
      <c r="J13" s="20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20" t="n">
        <v>13</v>
      </c>
      <c r="B14" s="20" t="n"/>
      <c r="C14" s="20" t="n"/>
      <c r="D14" s="20" t="n"/>
      <c r="E14" s="20" t="n"/>
      <c r="F14" s="20" t="n"/>
      <c r="G14" s="20" t="inlineStr">
        <is>
          <t>未驗收</t>
        </is>
      </c>
      <c r="H14" s="20" t="inlineStr">
        <is>
          <t>未驗收</t>
        </is>
      </c>
      <c r="I14" s="20" t="n"/>
      <c r="J14" s="20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20" t="n">
        <v>14</v>
      </c>
      <c r="B15" s="20" t="n"/>
      <c r="C15" s="20" t="n"/>
      <c r="D15" s="20" t="n"/>
      <c r="E15" s="20" t="n"/>
      <c r="F15" s="20" t="n"/>
      <c r="G15" s="20" t="inlineStr">
        <is>
          <t>未驗收</t>
        </is>
      </c>
      <c r="H15" s="20" t="inlineStr">
        <is>
          <t>未驗收</t>
        </is>
      </c>
      <c r="I15" s="20" t="n"/>
      <c r="J15" s="20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20" t="n">
        <v>15</v>
      </c>
      <c r="B16" s="20" t="n"/>
      <c r="C16" s="20" t="n"/>
      <c r="D16" s="20" t="n"/>
      <c r="E16" s="20" t="n"/>
      <c r="F16" s="20" t="n"/>
      <c r="G16" s="20" t="inlineStr">
        <is>
          <t>未驗收</t>
        </is>
      </c>
      <c r="H16" s="20" t="inlineStr">
        <is>
          <t>未驗收</t>
        </is>
      </c>
      <c r="I16" s="20" t="n"/>
      <c r="J16" s="20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20" t="n">
        <v>16</v>
      </c>
      <c r="B17" s="20" t="n"/>
      <c r="C17" s="20" t="n"/>
      <c r="D17" s="20" t="n"/>
      <c r="E17" s="20" t="n"/>
      <c r="F17" s="20" t="n"/>
      <c r="G17" s="20" t="inlineStr">
        <is>
          <t>未驗收</t>
        </is>
      </c>
      <c r="H17" s="20" t="inlineStr">
        <is>
          <t>未驗收</t>
        </is>
      </c>
      <c r="I17" s="20" t="n"/>
      <c r="J17" s="20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20" t="n">
        <v>17</v>
      </c>
      <c r="B18" s="20" t="n"/>
      <c r="C18" s="20" t="n"/>
      <c r="D18" s="20" t="n"/>
      <c r="E18" s="20" t="n"/>
      <c r="F18" s="20" t="n"/>
      <c r="G18" s="20" t="inlineStr">
        <is>
          <t>未驗收</t>
        </is>
      </c>
      <c r="H18" s="20" t="inlineStr">
        <is>
          <t>未驗收</t>
        </is>
      </c>
      <c r="I18" s="20" t="n"/>
      <c r="J18" s="20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20" t="n">
        <v>18</v>
      </c>
      <c r="B19" s="20" t="n"/>
      <c r="C19" s="20" t="n"/>
      <c r="D19" s="20" t="n"/>
      <c r="E19" s="20" t="n"/>
      <c r="F19" s="20" t="n"/>
      <c r="G19" s="20" t="inlineStr">
        <is>
          <t>未驗收</t>
        </is>
      </c>
      <c r="H19" s="20" t="inlineStr">
        <is>
          <t>未驗收</t>
        </is>
      </c>
      <c r="I19" s="20" t="n"/>
      <c r="J19" s="20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20" t="n">
        <v>19</v>
      </c>
      <c r="B20" s="20" t="n"/>
      <c r="C20" s="20" t="n"/>
      <c r="D20" s="20" t="n"/>
      <c r="E20" s="20" t="n"/>
      <c r="F20" s="20" t="n"/>
      <c r="G20" s="20" t="inlineStr">
        <is>
          <t>未驗收</t>
        </is>
      </c>
      <c r="H20" s="20" t="inlineStr">
        <is>
          <t>未驗收</t>
        </is>
      </c>
      <c r="I20" s="20" t="n"/>
      <c r="J20" s="20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20" t="n">
        <v>20</v>
      </c>
      <c r="B21" s="20" t="n"/>
      <c r="C21" s="20" t="n"/>
      <c r="D21" s="20" t="n"/>
      <c r="E21" s="20" t="n"/>
      <c r="F21" s="20" t="n"/>
      <c r="G21" s="20" t="inlineStr">
        <is>
          <t>未驗收</t>
        </is>
      </c>
      <c r="H21" s="20" t="inlineStr">
        <is>
          <t>未驗收</t>
        </is>
      </c>
      <c r="I21" s="20" t="n"/>
      <c r="J21" s="20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20" t="n">
        <v>21</v>
      </c>
      <c r="B22" s="20" t="n"/>
      <c r="C22" s="20" t="n"/>
      <c r="D22" s="20" t="n"/>
      <c r="E22" s="20" t="n"/>
      <c r="F22" s="20" t="n"/>
      <c r="G22" s="20" t="inlineStr">
        <is>
          <t>未驗收</t>
        </is>
      </c>
      <c r="H22" s="20" t="inlineStr">
        <is>
          <t>未驗收</t>
        </is>
      </c>
      <c r="I22" s="20" t="n"/>
      <c r="J22" s="20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20" t="n">
        <v>22</v>
      </c>
      <c r="B23" s="20" t="n"/>
      <c r="C23" s="20" t="n"/>
      <c r="D23" s="20" t="n"/>
      <c r="E23" s="20" t="n"/>
      <c r="F23" s="20" t="n"/>
      <c r="G23" s="20" t="inlineStr">
        <is>
          <t>未驗收</t>
        </is>
      </c>
      <c r="H23" s="20" t="inlineStr">
        <is>
          <t>未驗收</t>
        </is>
      </c>
      <c r="I23" s="20" t="n"/>
      <c r="J23" s="20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20" t="n">
        <v>23</v>
      </c>
      <c r="B24" s="20" t="n"/>
      <c r="C24" s="20" t="n"/>
      <c r="D24" s="20" t="n"/>
      <c r="E24" s="20" t="n"/>
      <c r="F24" s="20" t="n"/>
      <c r="G24" s="20" t="inlineStr">
        <is>
          <t>未驗收</t>
        </is>
      </c>
      <c r="H24" s="20" t="inlineStr">
        <is>
          <t>未驗收</t>
        </is>
      </c>
      <c r="I24" s="20" t="n"/>
      <c r="J24" s="20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20" t="n">
        <v>24</v>
      </c>
      <c r="B25" s="20" t="n"/>
      <c r="C25" s="20" t="n"/>
      <c r="D25" s="20" t="n"/>
      <c r="E25" s="20" t="n"/>
      <c r="F25" s="20" t="n"/>
      <c r="G25" s="20" t="inlineStr">
        <is>
          <t>未驗收</t>
        </is>
      </c>
      <c r="H25" s="20" t="inlineStr">
        <is>
          <t>未驗收</t>
        </is>
      </c>
      <c r="I25" s="20" t="n"/>
      <c r="J25" s="20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20" t="n">
        <v>25</v>
      </c>
      <c r="B26" s="20" t="n"/>
      <c r="C26" s="20" t="n"/>
      <c r="D26" s="20" t="n"/>
      <c r="E26" s="20" t="n"/>
      <c r="F26" s="20" t="n"/>
      <c r="G26" s="20" t="inlineStr">
        <is>
          <t>未驗收</t>
        </is>
      </c>
      <c r="H26" s="20" t="inlineStr">
        <is>
          <t>未驗收</t>
        </is>
      </c>
      <c r="I26" s="20" t="n"/>
      <c r="J26" s="20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20" t="n">
        <v>26</v>
      </c>
      <c r="B27" s="20" t="n"/>
      <c r="C27" s="20" t="n"/>
      <c r="D27" s="20" t="n"/>
      <c r="E27" s="20" t="n"/>
      <c r="F27" s="20" t="n"/>
      <c r="G27" s="20" t="inlineStr">
        <is>
          <t>未驗收</t>
        </is>
      </c>
      <c r="H27" s="20" t="inlineStr">
        <is>
          <t>未驗收</t>
        </is>
      </c>
      <c r="I27" s="20" t="n"/>
      <c r="J27" s="20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20" t="n">
        <v>27</v>
      </c>
      <c r="B28" s="20" t="n"/>
      <c r="C28" s="20" t="n"/>
      <c r="D28" s="20" t="n"/>
      <c r="E28" s="20" t="n"/>
      <c r="F28" s="20" t="n"/>
      <c r="G28" s="20" t="inlineStr">
        <is>
          <t>未驗收</t>
        </is>
      </c>
      <c r="H28" s="20" t="inlineStr">
        <is>
          <t>未驗收</t>
        </is>
      </c>
      <c r="I28" s="20" t="n"/>
      <c r="J28" s="20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20" t="n">
        <v>28</v>
      </c>
      <c r="B29" s="20" t="n"/>
      <c r="C29" s="20" t="n"/>
      <c r="D29" s="20" t="n"/>
      <c r="E29" s="20" t="n"/>
      <c r="F29" s="20" t="n"/>
      <c r="G29" s="20" t="inlineStr">
        <is>
          <t>未驗收</t>
        </is>
      </c>
      <c r="H29" s="20" t="inlineStr">
        <is>
          <t>未驗收</t>
        </is>
      </c>
      <c r="I29" s="20" t="n"/>
      <c r="J29" s="20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20" t="n">
        <v>29</v>
      </c>
      <c r="B30" s="20" t="n"/>
      <c r="C30" s="20" t="n"/>
      <c r="D30" s="20" t="n"/>
      <c r="E30" s="20" t="n"/>
      <c r="F30" s="20" t="n"/>
      <c r="G30" s="20" t="inlineStr">
        <is>
          <t>未驗收</t>
        </is>
      </c>
      <c r="H30" s="20" t="inlineStr">
        <is>
          <t>未驗收</t>
        </is>
      </c>
      <c r="I30" s="20" t="n"/>
      <c r="J30" s="20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20" t="n">
        <v>30</v>
      </c>
      <c r="B31" s="20" t="n"/>
      <c r="C31" s="20" t="n"/>
      <c r="D31" s="20" t="n"/>
      <c r="E31" s="20" t="n"/>
      <c r="F31" s="20" t="n"/>
      <c r="G31" s="20" t="inlineStr">
        <is>
          <t>未驗收</t>
        </is>
      </c>
      <c r="H31" s="20" t="inlineStr">
        <is>
          <t>未驗收</t>
        </is>
      </c>
      <c r="I31" s="20" t="n"/>
      <c r="J31" s="20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20" t="n">
        <v>31</v>
      </c>
      <c r="B32" s="20" t="n"/>
      <c r="C32" s="20" t="n"/>
      <c r="D32" s="20" t="n"/>
      <c r="E32" s="20" t="n"/>
      <c r="F32" s="20" t="n"/>
      <c r="G32" s="20" t="inlineStr">
        <is>
          <t>未驗收</t>
        </is>
      </c>
      <c r="H32" s="20" t="inlineStr">
        <is>
          <t>未驗收</t>
        </is>
      </c>
      <c r="I32" s="20" t="n"/>
      <c r="J32" s="20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20" t="n">
        <v>32</v>
      </c>
      <c r="B33" s="20" t="n"/>
      <c r="C33" s="20" t="n"/>
      <c r="D33" s="20" t="n"/>
      <c r="E33" s="20" t="n"/>
      <c r="F33" s="20" t="n"/>
      <c r="G33" s="20" t="inlineStr">
        <is>
          <t>未驗收</t>
        </is>
      </c>
      <c r="H33" s="20" t="inlineStr">
        <is>
          <t>未驗收</t>
        </is>
      </c>
      <c r="I33" s="20" t="n"/>
      <c r="J33" s="20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20" t="n">
        <v>33</v>
      </c>
      <c r="B34" s="20" t="n"/>
      <c r="C34" s="20" t="n"/>
      <c r="D34" s="20" t="n"/>
      <c r="E34" s="20" t="n"/>
      <c r="F34" s="20" t="n"/>
      <c r="G34" s="20" t="inlineStr">
        <is>
          <t>未驗收</t>
        </is>
      </c>
      <c r="H34" s="20" t="inlineStr">
        <is>
          <t>未驗收</t>
        </is>
      </c>
      <c r="I34" s="20" t="n"/>
      <c r="J34" s="20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20" t="n">
        <v>34</v>
      </c>
      <c r="B35" s="20" t="n"/>
      <c r="C35" s="20" t="n"/>
      <c r="D35" s="20" t="n"/>
      <c r="E35" s="20" t="n"/>
      <c r="F35" s="20" t="n"/>
      <c r="G35" s="20" t="inlineStr">
        <is>
          <t>未驗收</t>
        </is>
      </c>
      <c r="H35" s="20" t="inlineStr">
        <is>
          <t>未驗收</t>
        </is>
      </c>
      <c r="I35" s="20" t="n"/>
      <c r="J35" s="20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20" t="n">
        <v>36</v>
      </c>
      <c r="B36" s="20" t="inlineStr">
        <is>
          <t>前端待修收斂表#7/#25/#37/#43/#44/#49/#50</t>
        </is>
      </c>
      <c r="C36" s="20" t="inlineStr">
        <is>
          <t>前端待修收斂表</t>
        </is>
      </c>
      <c r="D36" s="20" t="inlineStr">
        <is>
          <t>第七批複驗：Gallery/WebResource/手機版滿版/影音標題截斷</t>
        </is>
      </c>
      <c r="E36" s="20" t="inlineStr">
        <is>
          <t>GalleryList_Comp.tsx、GalleryForm_Comp.tsx、WebResourceList.tsx、WebResourceList_Loader.ts、subpage-content.css</t>
        </is>
      </c>
      <c r="F36" s="20" t="inlineStr">
        <is>
          <t>2 筆通過、4 筆退回、1 筆待實機</t>
        </is>
      </c>
      <c r="G36" s="20" t="inlineStr">
        <is>
          <t>未驗收</t>
        </is>
      </c>
      <c r="H36" s="20" t="inlineStr">
        <is>
          <t>AA/UI/SSR 導航與手機版需回歸</t>
        </is>
      </c>
      <c r="I36" s="20" t="inlineStr">
        <is>
          <t>2026-05-27</t>
        </is>
      </c>
      <c r="J36" s="20" t="inlineStr">
        <is>
          <t>第七批複驗</t>
        </is>
      </c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20" t="n">
        <v>36</v>
      </c>
      <c r="B37" s="20" t="n"/>
      <c r="C37" s="20" t="n"/>
      <c r="D37" s="20" t="n"/>
      <c r="E37" s="20" t="n"/>
      <c r="F37" s="20" t="n"/>
      <c r="G37" s="20" t="inlineStr">
        <is>
          <t>未驗收</t>
        </is>
      </c>
      <c r="H37" s="20" t="inlineStr">
        <is>
          <t>未驗收</t>
        </is>
      </c>
      <c r="I37" s="20" t="n"/>
      <c r="J37" s="20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20" t="n">
        <v>37</v>
      </c>
      <c r="B38" s="20" t="n"/>
      <c r="C38" s="20" t="n"/>
      <c r="D38" s="20" t="n"/>
      <c r="E38" s="20" t="n"/>
      <c r="F38" s="20" t="n"/>
      <c r="G38" s="20" t="inlineStr">
        <is>
          <t>未驗收</t>
        </is>
      </c>
      <c r="H38" s="20" t="inlineStr">
        <is>
          <t>未驗收</t>
        </is>
      </c>
      <c r="I38" s="20" t="n"/>
      <c r="J38" s="20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20" t="n">
        <v>38</v>
      </c>
      <c r="B39" s="20" t="n"/>
      <c r="C39" s="20" t="n"/>
      <c r="D39" s="20" t="n"/>
      <c r="E39" s="20" t="n"/>
      <c r="F39" s="20" t="n"/>
      <c r="G39" s="20" t="inlineStr">
        <is>
          <t>未驗收</t>
        </is>
      </c>
      <c r="H39" s="20" t="inlineStr">
        <is>
          <t>未驗收</t>
        </is>
      </c>
      <c r="I39" s="20" t="n"/>
      <c r="J39" s="20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20" t="n">
        <v>39</v>
      </c>
      <c r="B40" s="20" t="n"/>
      <c r="C40" s="20" t="n"/>
      <c r="D40" s="20" t="n"/>
      <c r="E40" s="20" t="n"/>
      <c r="F40" s="20" t="n"/>
      <c r="G40" s="20" t="inlineStr">
        <is>
          <t>未驗收</t>
        </is>
      </c>
      <c r="H40" s="20" t="inlineStr">
        <is>
          <t>未驗收</t>
        </is>
      </c>
      <c r="I40" s="20" t="n"/>
      <c r="J40" s="20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20" t="n">
        <v>40</v>
      </c>
      <c r="B41" s="20" t="n"/>
      <c r="C41" s="20" t="n"/>
      <c r="D41" s="20" t="n"/>
      <c r="E41" s="20" t="n"/>
      <c r="F41" s="20" t="n"/>
      <c r="G41" s="20" t="inlineStr">
        <is>
          <t>未驗收</t>
        </is>
      </c>
      <c r="H41" s="20" t="inlineStr">
        <is>
          <t>未驗收</t>
        </is>
      </c>
      <c r="I41" s="20" t="n"/>
      <c r="J41" s="20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7" t="n">
        <v>41</v>
      </c>
      <c r="B42" s="17" t="inlineStr">
        <is>
          <t>前端待修收斂表#19/#28/#34/#55/#57/#70/#73</t>
        </is>
      </c>
      <c r="C42" s="17" t="inlineStr">
        <is>
          <t>前端待修收斂表</t>
        </is>
      </c>
      <c r="D42" s="17" t="inlineStr">
        <is>
          <t>第八批複驗：SSR/CSR、LoadingErrorHandler、外連等待畫面、QA 序號、Banner 自動輪播</t>
        </is>
      </c>
      <c r="E42" s="17" t="inlineStr">
        <is>
          <t>Entry-Client.tsx、LoadingErrorHandler.tsx、Site-Routing.tsx、BuildMenuItems.tsx、AnnouncementList.tsx、BannerSlider.tsx</t>
        </is>
      </c>
      <c r="F42" s="17" t="inlineStr">
        <is>
          <t>3 筆通過、1 筆退回、2 筆待實機確認</t>
        </is>
      </c>
      <c r="G42" s="17" t="inlineStr">
        <is>
          <t>未驗收</t>
        </is>
      </c>
      <c r="H42" s="17" t="inlineStr">
        <is>
          <t>SSR/CSR、AA loading 文案、外連安全屬性與 UI 導航需回歸</t>
        </is>
      </c>
      <c r="I42" s="17" t="inlineStr">
        <is>
          <t>2026-05-27</t>
        </is>
      </c>
      <c r="J42" s="17" t="inlineStr">
        <is>
          <t>第八批複驗</t>
        </is>
      </c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7" t="n">
        <v>43</v>
      </c>
      <c r="B43" s="17" t="inlineStr">
        <is>
          <t>前端待修收斂表#62/#63/#65/#69</t>
        </is>
      </c>
      <c r="C43" s="17" t="inlineStr">
        <is>
          <t>前端待修收斂表</t>
        </is>
      </c>
      <c r="D43" s="17" t="inlineStr">
        <is>
          <t>第十批複驗：公告/相簿圖片下載格式、檔案室搜尋靈敏度、研究亮點/USR 欄位排序</t>
        </is>
      </c>
      <c r="E43" s="17" t="inlineStr">
        <is>
          <t>AnnouncementForm.tsx、CmsHtml_Transform.ts、APIClient.ts、GalleryForm_Comp.tsx、LibLightBox_Comp.tsx、FileArchiveList_Loader.ts、SpecUSR_Form_Comp.tsx</t>
        </is>
      </c>
      <c r="F43" s="17" t="inlineStr">
        <is>
          <t>0 筆通過、4 筆退回</t>
        </is>
      </c>
      <c r="G43" s="17" t="inlineStr">
        <is>
          <t>未驗收</t>
        </is>
      </c>
      <c r="H43" s="17" t="inlineStr">
        <is>
          <t>檔案下載格式、搜尋 API 條件、欄位排序規則需回歸</t>
        </is>
      </c>
      <c r="I43" s="17" t="inlineStr">
        <is>
          <t>2026-05-27</t>
        </is>
      </c>
      <c r="J43" s="17" t="inlineStr">
        <is>
          <t>第十批複驗</t>
        </is>
      </c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16" customWidth="1" style="21" min="1" max="1"/>
    <col width="13" customWidth="1" style="21" min="2" max="2"/>
    <col width="42" customWidth="1" style="21" min="3" max="3"/>
    <col width="8.630000114440918" customWidth="1" style="21" min="4" max="6"/>
  </cols>
  <sheetData>
    <row r="1" ht="25.5" customHeight="1" s="21">
      <c r="A1" s="19" t="inlineStr">
        <is>
          <t>來源</t>
        </is>
      </c>
      <c r="B1" s="19" t="inlineStr">
        <is>
          <t>處理方式</t>
        </is>
      </c>
      <c r="C1" s="19" t="inlineStr">
        <is>
          <t>備註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inlineStr">
        <is>
          <t>前台問題追蹤表(ORD)</t>
        </is>
      </c>
      <c r="B2" s="20" t="inlineStr">
        <is>
          <t>逐列擷取非已結案項目</t>
        </is>
      </c>
      <c r="C2" s="20" t="inlineStr">
        <is>
          <t>包含新增問題、處理中、退回、待確認、待驗收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inlineStr">
        <is>
          <t>測試站後台問題表(wcms)</t>
        </is>
      </c>
      <c r="B3" s="20" t="inlineStr">
        <is>
          <t>逐列擷取非已結案項目</t>
        </is>
      </c>
      <c r="C3" s="20" t="inlineStr">
        <is>
          <t>已完成但未明確通過複測者歸為待驗收</t>
        </is>
      </c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inlineStr">
        <is>
          <t>需求表類 sheet</t>
        </is>
      </c>
      <c r="B4" s="20" t="inlineStr">
        <is>
          <t>依模組/功能群組收斂，不逐欄位拆太細</t>
        </is>
      </c>
      <c r="C4" s="20" t="inlineStr">
        <is>
          <t>系統設定、帳號管理、後台首頁、網站功能、追加需求、第二階段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inlineStr">
        <is>
          <t>目前專案 ZIP</t>
        </is>
      </c>
      <c r="B5" s="20" t="inlineStr">
        <is>
          <t>掃描已存在模組、TODO、NotImplemented、前台資料流殘留</t>
        </is>
      </c>
      <c r="C5" s="20" t="inlineStr">
        <is>
          <t>用於補上 Excel 沒明確列到但專案內仍需收斂的項目</t>
        </is>
      </c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inlineStr">
        <is>
          <t>預估花費時間</t>
        </is>
      </c>
      <c r="B6" s="20" t="inlineStr">
        <is>
          <t>依追蹤表已有工時與問題類型估算</t>
        </is>
      </c>
      <c r="C6" s="20" t="inlineStr">
        <is>
          <t>僅作排程用，實際需依程式碼修改量回填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000011444092" defaultRowHeight="15"/>
  <cols>
    <col width="12" customWidth="1" style="21" min="1" max="6"/>
    <col width="22" customWidth="1" style="21" min="7" max="7"/>
  </cols>
  <sheetData>
    <row r="1" ht="25.5" customHeight="1" s="21">
      <c r="A1" s="19" t="inlineStr">
        <is>
          <t>重要性</t>
        </is>
      </c>
      <c r="B1" s="19" t="inlineStr">
        <is>
          <t>規模</t>
        </is>
      </c>
      <c r="C1" s="19" t="inlineStr">
        <is>
          <t>狀態</t>
        </is>
      </c>
      <c r="D1" s="19" t="inlineStr">
        <is>
          <t>結果</t>
        </is>
      </c>
      <c r="E1" s="19" t="inlineStr">
        <is>
          <t>風險等級</t>
        </is>
      </c>
      <c r="F1" s="19" t="inlineStr">
        <is>
          <t>區域</t>
        </is>
      </c>
      <c r="G1" s="19" t="inlineStr">
        <is>
          <t>檢測類型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20" t="inlineStr">
        <is>
          <t>緊急</t>
        </is>
      </c>
      <c r="B2" s="20" t="inlineStr">
        <is>
          <t>S</t>
        </is>
      </c>
      <c r="C2" s="20" t="inlineStr">
        <is>
          <t>待修</t>
        </is>
      </c>
      <c r="D2" s="20" t="inlineStr">
        <is>
          <t>未驗收</t>
        </is>
      </c>
      <c r="E2" s="20" t="inlineStr">
        <is>
          <t>Critical</t>
        </is>
      </c>
      <c r="F2" s="20" t="inlineStr">
        <is>
          <t>前端</t>
        </is>
      </c>
      <c r="G2" s="20" t="inlineStr">
        <is>
          <t>Auth</t>
        </is>
      </c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20" t="inlineStr">
        <is>
          <t>高</t>
        </is>
      </c>
      <c r="B3" s="20" t="inlineStr">
        <is>
          <t>M</t>
        </is>
      </c>
      <c r="C3" s="20" t="inlineStr">
        <is>
          <t>處理中</t>
        </is>
      </c>
      <c r="D3" s="20" t="inlineStr">
        <is>
          <t>待驗收</t>
        </is>
      </c>
      <c r="E3" s="20" t="inlineStr">
        <is>
          <t>高</t>
        </is>
      </c>
      <c r="F3" s="20" t="inlineStr">
        <is>
          <t>後端</t>
        </is>
      </c>
      <c r="G3" s="20" t="inlineStr">
        <is>
          <t>Access Control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20" t="inlineStr">
        <is>
          <t>中</t>
        </is>
      </c>
      <c r="B4" s="20" t="inlineStr">
        <is>
          <t>L</t>
        </is>
      </c>
      <c r="C4" s="20" t="inlineStr">
        <is>
          <t>待規劃</t>
        </is>
      </c>
      <c r="D4" s="20" t="inlineStr">
        <is>
          <t>已通過</t>
        </is>
      </c>
      <c r="E4" s="20" t="inlineStr">
        <is>
          <t>中</t>
        </is>
      </c>
      <c r="F4" s="20" t="inlineStr">
        <is>
          <t>前後端</t>
        </is>
      </c>
      <c r="G4" s="20" t="inlineStr">
        <is>
          <t>Input Validation</t>
        </is>
      </c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20" t="inlineStr">
        <is>
          <t>低</t>
        </is>
      </c>
      <c r="B5" s="20" t="inlineStr">
        <is>
          <t>XL</t>
        </is>
      </c>
      <c r="C5" s="20" t="inlineStr">
        <is>
          <t>待確認</t>
        </is>
      </c>
      <c r="D5" s="20" t="inlineStr">
        <is>
          <t>通過</t>
        </is>
      </c>
      <c r="E5" s="20" t="inlineStr">
        <is>
          <t>低</t>
        </is>
      </c>
      <c r="F5" s="20" t="inlineStr">
        <is>
          <t>中後期</t>
        </is>
      </c>
      <c r="G5" s="20" t="inlineStr">
        <is>
          <t>XSS</t>
        </is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/>
      <c r="B6" s="20" t="n"/>
      <c r="C6" s="20" t="inlineStr">
        <is>
          <t>退回</t>
        </is>
      </c>
      <c r="D6" s="20" t="inlineStr">
        <is>
          <t>未通過</t>
        </is>
      </c>
      <c r="E6" s="20" t="n"/>
      <c r="F6" s="20" t="n"/>
      <c r="G6" s="20" t="inlineStr">
        <is>
          <t>SQL Injection</t>
        </is>
      </c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20" t="n"/>
      <c r="B7" s="20" t="n"/>
      <c r="C7" s="20" t="inlineStr">
        <is>
          <t>待驗收</t>
        </is>
      </c>
      <c r="D7" s="20" t="inlineStr">
        <is>
          <t>部分通過</t>
        </is>
      </c>
      <c r="E7" s="20" t="n"/>
      <c r="F7" s="20" t="n"/>
      <c r="G7" s="20" t="inlineStr">
        <is>
          <t>File Upload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20" t="n"/>
      <c r="B8" s="20" t="n"/>
      <c r="C8" s="20" t="inlineStr">
        <is>
          <t>待檢測</t>
        </is>
      </c>
      <c r="D8" s="20" t="inlineStr">
        <is>
          <t>退回</t>
        </is>
      </c>
      <c r="E8" s="20" t="n"/>
      <c r="F8" s="20" t="n"/>
      <c r="G8" s="20" t="inlineStr">
        <is>
          <t>CSP</t>
        </is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20" t="n"/>
      <c r="B9" s="20" t="n"/>
      <c r="C9" s="20" t="inlineStr">
        <is>
          <t>已完成</t>
        </is>
      </c>
      <c r="D9" s="20" t="n"/>
      <c r="E9" s="20" t="n"/>
      <c r="F9" s="20" t="n"/>
      <c r="G9" s="20" t="inlineStr">
        <is>
          <t>SSR</t>
        </is>
      </c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/>
      <c r="B10" s="20" t="n"/>
      <c r="C10" s="20" t="inlineStr">
        <is>
          <t>已完成可測試</t>
        </is>
      </c>
      <c r="D10" s="20" t="n"/>
      <c r="E10" s="20" t="n"/>
      <c r="F10" s="20" t="n"/>
      <c r="G10" s="20" t="inlineStr">
        <is>
          <t>Logging</t>
        </is>
      </c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20" t="n"/>
      <c r="B11" s="20" t="n"/>
      <c r="C11" s="20" t="n"/>
      <c r="D11" s="20" t="n"/>
      <c r="E11" s="20" t="n"/>
      <c r="F11" s="20" t="n"/>
      <c r="G11" s="20" t="inlineStr">
        <is>
          <t>Config</t>
        </is>
      </c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20" t="n"/>
      <c r="B12" s="20" t="n"/>
      <c r="C12" s="20" t="n"/>
      <c r="D12" s="20" t="n"/>
      <c r="E12" s="20" t="n"/>
      <c r="F12" s="20" t="n"/>
      <c r="G12" s="20" t="inlineStr">
        <is>
          <t>Dependency</t>
        </is>
      </c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2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2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2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2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2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2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2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2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2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2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2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2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2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2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2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2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2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2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2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2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2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2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2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2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2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2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2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2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2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2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2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2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2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2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2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2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2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2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2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2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2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2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2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2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2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2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2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2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2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2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2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2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2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2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2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2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2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2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2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2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2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2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2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2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2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2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2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2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2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2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2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2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2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2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2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2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2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2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2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2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2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2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2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2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2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2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2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2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2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2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2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2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2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2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2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2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2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2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2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2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2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2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2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2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2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2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2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2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2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2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2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2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2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2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2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2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2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2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2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2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2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2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2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2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2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2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2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2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2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2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2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2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2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2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2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2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2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2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2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2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2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2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2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2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2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2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2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2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2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2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2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2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2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2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2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2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2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2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2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21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2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2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2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2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2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2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2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2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2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2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2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2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2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2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2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2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2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2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2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2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2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2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2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2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2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2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2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2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2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2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2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2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2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2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2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2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2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2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2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2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2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2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2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2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2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2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2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2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2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2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2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2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2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2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2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2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2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2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2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2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2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2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2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2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2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2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2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2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2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2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2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2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2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2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2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2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2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2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2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2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2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2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2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2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2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2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2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2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2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2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2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2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2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2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2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2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2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2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2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2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2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2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2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2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2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2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2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2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2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2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2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2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2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2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2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2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2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2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2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2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2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2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2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2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2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2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2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2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2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2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2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2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2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2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2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2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2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2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2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2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2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2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2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2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2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2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2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2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2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2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2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2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2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2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2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2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2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2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2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2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2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2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2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2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2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2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2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2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2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2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2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2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2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2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2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2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2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2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2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2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2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2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2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2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2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2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2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2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2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2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2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2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2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2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2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2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2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2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2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2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2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2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2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2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2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2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2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2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2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2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2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2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2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2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2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21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2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2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2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2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2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2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2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2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2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2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2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2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2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2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2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2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2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2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2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21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21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2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21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2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21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2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21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2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21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2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21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2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21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2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21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2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21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2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21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2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21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2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21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2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21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2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21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2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21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2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21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2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21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2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21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2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21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2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21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2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21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2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21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2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21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2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21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2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21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2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21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2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21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2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21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2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21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2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21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2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21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2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21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2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21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2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21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2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21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2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21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2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21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2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21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2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21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2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21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2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21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2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21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2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21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2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21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2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21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2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21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2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21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2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21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2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21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2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21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21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2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21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2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21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2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21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2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21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2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21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2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21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2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21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2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21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2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21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2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21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2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21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2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21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2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21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2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21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2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21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2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21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2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21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2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21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2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21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2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21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2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21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2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21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2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21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2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21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2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21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2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21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2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21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2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21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2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21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2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21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2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21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2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21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2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21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2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21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2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21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2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21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2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21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2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21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2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21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2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21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2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21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2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21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2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21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2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21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2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21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2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21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2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21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2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21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2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21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21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2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21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2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21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2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21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2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21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2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21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21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2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21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2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21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2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21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2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21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2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21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2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21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2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21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2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21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2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21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2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21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2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21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2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21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2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21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2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21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2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21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2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21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2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21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2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21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2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21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2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21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2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21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2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21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2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21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2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21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2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21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2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21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2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21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2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21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2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21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2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21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2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21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2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21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2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21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2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21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2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21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2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21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2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21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2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21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2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21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2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21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2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21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2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21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2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21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21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2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21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2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21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2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21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2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21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2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21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2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21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2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21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2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21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2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21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2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21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2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21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2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21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2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21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2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21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2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21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2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21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2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21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2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21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2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21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2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21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2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21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2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21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2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21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2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21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2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21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2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21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2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21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2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21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2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21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2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21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2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21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2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21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2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21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2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21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2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21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2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21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2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21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2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21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2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21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2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21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2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21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2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21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2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21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2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21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2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21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2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21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2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21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2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21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2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21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21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2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21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2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21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2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21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2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21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2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21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2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21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2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21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2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21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2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21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2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21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2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21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2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21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2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21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2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21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2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21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2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21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2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21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2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21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2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21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2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21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2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21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2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21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2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21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2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21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2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21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2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21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2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21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2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21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2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21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2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21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2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21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2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21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2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21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2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21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2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21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2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21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2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21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2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21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2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21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2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21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2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21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2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21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2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21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2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21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2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21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2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21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2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21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2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21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2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21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21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2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21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2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21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2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21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2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21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2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21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2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21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2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21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2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21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2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21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2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21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2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21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2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21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2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21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2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21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2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21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2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21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2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21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2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21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2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21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2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21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2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21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2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21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2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21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2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21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2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21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2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21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2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21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2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21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2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21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2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21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2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21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2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21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2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21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2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21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2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21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2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21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2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21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2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21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2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21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2026-05-27T09:53:58Z</dcterms:created>
  <dcterms:modified xmlns:dcterms="http://purl.org/dc/terms/" xmlns:xsi="http://www.w3.org/2001/XMLSchema-instance" xsi:type="dcterms:W3CDTF">2026-05-27T10:27:54Z</dcterms:modified>
</cp:coreProperties>
</file>